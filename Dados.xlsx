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ada 1" sheetId="1" r:id="rId5"/>
    <sheet state="visible" name="Camada 2" sheetId="2" r:id="rId6"/>
    <sheet state="visible" name="Camada 3" sheetId="3" r:id="rId7"/>
    <sheet state="visible" name="Padronização" sheetId="4" r:id="rId8"/>
  </sheets>
  <definedNames>
    <definedName hidden="1" localSheetId="0" name="_xlnm._FilterDatabase">'Camada 1'!$A$1:$H$1199</definedName>
    <definedName hidden="1" localSheetId="1" name="_xlnm._FilterDatabase">'Camada 2'!$A$1:$N$274</definedName>
    <definedName hidden="1" localSheetId="2" name="_xlnm._FilterDatabase">'Camada 3'!$A$1:$Q$21</definedName>
  </definedNames>
  <calcPr/>
</workbook>
</file>

<file path=xl/sharedStrings.xml><?xml version="1.0" encoding="utf-8"?>
<sst xmlns="http://schemas.openxmlformats.org/spreadsheetml/2006/main" count="7568" uniqueCount="1271">
  <si>
    <t>Código</t>
  </si>
  <si>
    <t>Fonte</t>
  </si>
  <si>
    <t>Decisão</t>
  </si>
  <si>
    <t>Motivo padronizado</t>
  </si>
  <si>
    <t>Ano</t>
  </si>
  <si>
    <t>E1</t>
  </si>
  <si>
    <t>Tipo</t>
  </si>
  <si>
    <t>Título</t>
  </si>
  <si>
    <t>❌</t>
  </si>
  <si>
    <t>Decisão C1</t>
  </si>
  <si>
    <t>Telecomunicações emergenciais / alocação de rede; foco técnico</t>
  </si>
  <si>
    <t>Motivo</t>
  </si>
  <si>
    <t>E2</t>
  </si>
  <si>
    <t>Energia, grid, V2G; crise tratada como operação técnica</t>
  </si>
  <si>
    <t>Tipo de Crise</t>
  </si>
  <si>
    <t>E3</t>
  </si>
  <si>
    <t>Escala</t>
  </si>
  <si>
    <t xml:space="preserve">Algoritmo técnico / MAS sem humano / otimização </t>
  </si>
  <si>
    <t>C. Humano</t>
  </si>
  <si>
    <t>E4</t>
  </si>
  <si>
    <t>Ferramenta</t>
  </si>
  <si>
    <t>Disponível</t>
  </si>
  <si>
    <t>Score</t>
  </si>
  <si>
    <t>Prioridade</t>
  </si>
  <si>
    <t>Leitura Completa</t>
  </si>
  <si>
    <t>Transporte / tráfego em operação normal</t>
  </si>
  <si>
    <t>Motivo Exclusão</t>
  </si>
  <si>
    <t>E5</t>
  </si>
  <si>
    <t>Incluir</t>
  </si>
  <si>
    <t>Artigo metodológico genérico (framework, design, how-to)</t>
  </si>
  <si>
    <t>Scopus</t>
  </si>
  <si>
    <t>E6</t>
  </si>
  <si>
    <t>Não aborda cenário de crise ou desastre</t>
  </si>
  <si>
    <t>Artigo</t>
  </si>
  <si>
    <t>E7</t>
  </si>
  <si>
    <t xml:space="preserve">        
Dynamic Human-Vehicle Risk Assessment for Urban Flood Evacuations in Island Cities: The MUFE Framework Applied to Haidian Island, Haikou</t>
  </si>
  <si>
    <t>Supply chain / impacto econômico indireto</t>
  </si>
  <si>
    <t>✅</t>
  </si>
  <si>
    <t>E8</t>
  </si>
  <si>
    <t>Emergência em saúde com foco operacional / Operação hospitalar</t>
  </si>
  <si>
    <t>M1</t>
  </si>
  <si>
    <t>⚠️</t>
  </si>
  <si>
    <t>Crise explícita com foco em infraestrutura</t>
  </si>
  <si>
    <t>M2</t>
  </si>
  <si>
    <t>Emergência sem evacuação clara</t>
  </si>
  <si>
    <t>I1</t>
  </si>
  <si>
    <t>ABM/MAS aplicado à evacuação</t>
  </si>
  <si>
    <t>I2</t>
  </si>
  <si>
    <t>ABM/MAS focado em comportamento humano cognitivo</t>
  </si>
  <si>
    <t>Enchente</t>
  </si>
  <si>
    <t>I3</t>
  </si>
  <si>
    <t>Regional</t>
  </si>
  <si>
    <t>Resposta humana a alertas e decisões</t>
  </si>
  <si>
    <t>Sim</t>
  </si>
  <si>
    <t>I4</t>
  </si>
  <si>
    <t>Mesa</t>
  </si>
  <si>
    <t>Grupos vulneráveis em cenários de crise</t>
  </si>
  <si>
    <t>M3</t>
  </si>
  <si>
    <t>Emergência com evacuação específica</t>
  </si>
  <si>
    <t>Duplicado</t>
  </si>
  <si>
    <t>Foco em avaliação de risco e estabilidade de veículos, sem modelagem direta do processo de evacuação</t>
  </si>
  <si>
    <t>Não</t>
  </si>
  <si>
    <t xml:space="preserve">        
Development and real-world deployment of a multi-agent system to support the operation of renewable energy communities</t>
  </si>
  <si>
    <t>When agents learn to think: Large language model-enhanced agent-based modeling for crowd evacuation in disaster scenarios</t>
  </si>
  <si>
    <t>Enhancing urban flood resilience through agent-based modeling of evacuation behaviors</t>
  </si>
  <si>
    <t>Multirriscos</t>
  </si>
  <si>
    <t>Microescala</t>
  </si>
  <si>
    <t>Python</t>
  </si>
  <si>
    <t>NetLogo</t>
  </si>
  <si>
    <t>Optimization method for fire rescue equipment allocation based on fuzzy needs assessment and AnyLogic simulation</t>
  </si>
  <si>
    <t>Self-evecuate</t>
  </si>
  <si>
    <t>Spatial and operational interventions for healthy cruise ship design using agent-based modelling</t>
  </si>
  <si>
    <t>Urban waterlogging disaster risk evaluation framework based on complex network and agent-based model: a case study of Zhengzhou, China</t>
  </si>
  <si>
    <t>Redes de transporte (metro, tuneis etc)</t>
  </si>
  <si>
    <t xml:space="preserve">	
Impact of the caregiver-to-resident ratio on evacuation efficiency in nursing homes: A simulation-based study</t>
  </si>
  <si>
    <t>FRAMe: Empirically informed agent-based modeling of flood resilience in the Mekong River Basin</t>
  </si>
  <si>
    <t xml:space="preserve">        
Multi-agent deep reinforcement learning for group intelligence in emergency evacuation: A decentralized simulation-to-reality platform with perception-aware policies</t>
  </si>
  <si>
    <t>pré- -pós</t>
  </si>
  <si>
    <t>A multi-agent deep reinforcement learning model for crowd coordinated evacuation simulation in complex environments</t>
  </si>
  <si>
    <t xml:space="preserve">        
Impact of the caregiver-to-resident ratio on evacuation efficiency in nursing homes: A simulation-based study</t>
  </si>
  <si>
    <t xml:space="preserve">        
Enhancing local flood resilience: A participatory simulation-game framework for evacuation planning in Thailand</t>
  </si>
  <si>
    <t>Assessing public space design at transport stations during emergency situations using a data-driven agent-based model</t>
  </si>
  <si>
    <t>GAMA</t>
  </si>
  <si>
    <t>Não informado</t>
  </si>
  <si>
    <t xml:space="preserve">	
Enhancing resilience of electric vehicle charging management in hydrogen–electric coupled distribution networks: A risk-characterization multi-agent reinforcement learning approach</t>
  </si>
  <si>
    <t xml:space="preserve">	
Enhancing evacuation safety in urban primary schools: an agent-based model integrating child development behaviour and health dynamics</t>
  </si>
  <si>
    <t xml:space="preserve">        
Flood-ABM: An agent-based model of differential flood effects on population groups and their decision-making processes</t>
  </si>
  <si>
    <t>Conference Paper</t>
  </si>
  <si>
    <t>An Adaptative Agent-Based Model Metasystem for Emergency Departments</t>
  </si>
  <si>
    <t>Multi-agents UAV Coordination for Evacuation Support in Disaster-Affected Areas</t>
  </si>
  <si>
    <t>envolve questões sócio-economicas</t>
  </si>
  <si>
    <t xml:space="preserve">	
Formulating infrastructure restoration as a geospatial multi-project scheduling problem using agent-based simulation</t>
  </si>
  <si>
    <t xml:space="preserve">        
Resident Participation in Flood Response: A Machine Learning and Agent-Based Simulation Study of Zhengzhou, China</t>
  </si>
  <si>
    <t>Autonomous Deployment of Aerial Base Station Without Network-Side Assistance in Emergency Scenarios Based on Multi-Agent Deep Reinforcement Learning</t>
  </si>
  <si>
    <t>Outro</t>
  </si>
  <si>
    <t>predição de comportamento</t>
  </si>
  <si>
    <t xml:space="preserve">	
Information-Driven Team Collaboration in RoboCup Rescue</t>
  </si>
  <si>
    <t xml:space="preserve">        
Dynamic flood evacuation modelling for coastal cities: A case study of Shanghai</t>
  </si>
  <si>
    <t>How to Evolve from Problem to Agent-Based Simulator</t>
  </si>
  <si>
    <t>Graph-Attentional Multi-Agent Reinforcement Learning for V2G Emergency Dispatch in Cold-Weather Coupled Networks</t>
  </si>
  <si>
    <t>Parcial</t>
  </si>
  <si>
    <t>Distributed Real-Time Topology Reconfiguration for UAV Swarms via MADDPG</t>
  </si>
  <si>
    <t xml:space="preserve">        
Assessing the impact of early warning and evacuation on human losses during the 2021 Ahr Valley flood in Germany using agent-based modelling</t>
  </si>
  <si>
    <t xml:space="preserve">	
Development of a hybrid simulation model for hospital capacity in health emergencies</t>
  </si>
  <si>
    <t>Não aparenta ser bom suporte técnico</t>
  </si>
  <si>
    <t>Measure Preserving Flows for Ergodic Search in Convoluted Environments</t>
  </si>
  <si>
    <t>Large-scale real-time evacuation modeling during urban floods: A coupled agent-based multi-model framework</t>
  </si>
  <si>
    <t>Heterogeneous UAVs Trajectory Optimization for Post-Disaster Target Search Based on MARL With Graph Attention Network</t>
  </si>
  <si>
    <t xml:space="preserve">        
Enhancing evacuation safety in urban primary schools: an agent-based model integrating child development behaviour and health dynamics</t>
  </si>
  <si>
    <t>Multiagent Deep Reinforcement Learning for Joint Movement and User Association of UAV-BS Emergency Indoor User Service</t>
  </si>
  <si>
    <t>Incêndio</t>
  </si>
  <si>
    <t xml:space="preserve">	
Improving Overcrowding in Outpatient Departments of Old Hospitals: A Case Study in Beijing</t>
  </si>
  <si>
    <t xml:space="preserve">        
Dynamic disaster risk assessment of urban waterlogging on pedestrian flow by intelligent simulation of hydrodynamics coupled with agent-based models in Chao-yang river basin of Nanning, China</t>
  </si>
  <si>
    <t xml:space="preserve">	
Constrained Causal Decision Dilemmas</t>
  </si>
  <si>
    <t xml:space="preserve">	
Integrated Task Scheduling, Path Planning, and Control for Cooperative UGV–UAV Systems via an Extended MPPI-GA Framework</t>
  </si>
  <si>
    <t>Não Relevante</t>
  </si>
  <si>
    <t>Unraveling the interplay of human decisions and flood risk: An agent-based modeling approach</t>
  </si>
  <si>
    <t xml:space="preserve">	
AGI-Enabled Networked Sensing Data Aggregation for Heterogeneous UAV-UGV Coalition in Low-Altitude ISAC Systems</t>
  </si>
  <si>
    <t xml:space="preserve">	
HMCF: A Human-in-the-Loop Multi-robot Collaboration Framework Based on Large Language Models</t>
  </si>
  <si>
    <t xml:space="preserve">        
Improving emergency evacuation capacity for subway stations based on agent-based modelling</t>
  </si>
  <si>
    <t>A Hierarchical MAFDRL-Based Resource Allocation and Incentive Mechanism for TN-NTN in 6G Networks</t>
  </si>
  <si>
    <t xml:space="preserve">	
Hierarchical Task Offloading and Trajectory Optimization in Low-Altitude Intelligent Networks via Auction and Diffusion-Based MARL</t>
  </si>
  <si>
    <t>socioeconomico (fazendas)</t>
  </si>
  <si>
    <t>Task Assignment and Exploration Optimization for Low Altitude UAV Rescue via Generative AI Enhanced Multi-Agent Reinforcement Learning</t>
  </si>
  <si>
    <t xml:space="preserve">        
Understanding Tsunami Evacuation via a Social Force Model While Considering Stress Levels Using Agent-Based Modelling</t>
  </si>
  <si>
    <t>Tsunami</t>
  </si>
  <si>
    <t>Wireless Resource Optimization for UAV Swarm Cooperative Sensing via Multi-Agent Multi-Task Deep Reinforcement Learning</t>
  </si>
  <si>
    <t>An agent-based model to simulate human responses to flash flood warnings for improving evacuation performance</t>
  </si>
  <si>
    <t xml:space="preserve">	
Multi-Agent DRL-Based Coded Caching and Resource Allocation in UAV-Assisted Networks</t>
  </si>
  <si>
    <t xml:space="preserve">        
Comparison of crowd evacuation efficiency under static signage and dynamic personnel guidance from an emotional contagion perspective</t>
  </si>
  <si>
    <t>LLM-PD: A Large Language Model-Driven Policy Distillation-Based Method for Multi-UAV Path Planning</t>
  </si>
  <si>
    <t>Energy and Fairness Optimization in RIS-Assisted Multi-UAV AMEC Based on Multi-Agent Reinforcement Learning</t>
  </si>
  <si>
    <t>Psychological stress on human mobility and emergency evacuation in disaster response</t>
  </si>
  <si>
    <t xml:space="preserve">	
Deep learning for optimizing urban governance by sensing-processing-responding cycle: Recent advances, future prospects and challenges</t>
  </si>
  <si>
    <t>MiniRocket-MARL synergy for storm tide resilience: MESS-DV enhanced recovery in coastal distribution networks</t>
  </si>
  <si>
    <t>Large-language-model-driven agents for fire evacuation simulation in a cellular automata environment</t>
  </si>
  <si>
    <t xml:space="preserve">	
RT-FedFlow: An efficient framework for real-time traffic signal optimization using federated multi-agent reinforcement learning</t>
  </si>
  <si>
    <t>é focado em comparar avisos PRÉ enchentes, não realiza a evacuação em si</t>
  </si>
  <si>
    <t xml:space="preserve">	
Improving emergency evacuation capacity for subway stations based on agent-based modelling</t>
  </si>
  <si>
    <t>Development of an integrated socio-hydrological modeling framework for assessing the impacts of shelter location arrangement and human behaviors on flood evacuation processes</t>
  </si>
  <si>
    <t xml:space="preserve">	
From Coordination to Personalization: A Trust-Aware Simulation Framework for AI-Driven Personalized Decision Support in Emergency Departments</t>
  </si>
  <si>
    <t>Optimizing Evacuation for Disabled Pedestrians with Heterogeneous Speeds: A Floor Field Cellular Automaton and Reinforcement Learning Approach</t>
  </si>
  <si>
    <t>Coverage Control with Multi-Leader and Follower Systems</t>
  </si>
  <si>
    <t>Agent-based simulation of the effectiveness of policies for the adoption of seismic retrofits</t>
  </si>
  <si>
    <t>ABMS-Driven Reinforcement Learning for Dynamic Resource Allocation in Mass Casualty Incidents †</t>
  </si>
  <si>
    <t>Computation Offloading in Space–Air–Ground Integrated Networks for Diverse Task Requirements with Integrated Reliability Mechanisms</t>
  </si>
  <si>
    <t xml:space="preserve">	
Trusted Routing for Blockchain-Empowered UAV Networks via Multi-Agent Deep Reinforcement Learning</t>
  </si>
  <si>
    <t>Catering supply chain resilience optimization algorithm from the perspective of multi-agent simulation (MAS)</t>
  </si>
  <si>
    <t>Evaluating strategies for single to multi-risk mitigation in urban public open spaces: A behavioural simulation-based approach applied to Italian typological historical urban squares</t>
  </si>
  <si>
    <t xml:space="preserve">	
Comparison of crowd evacuation efficiency under static signage and dynamic personnel guidance from an emotional contagion perspective</t>
  </si>
  <si>
    <t>earch and rescue operations in wildfires using unmanned aerial vehicles: A multi-agent deep reinforcement learning approach</t>
  </si>
  <si>
    <t xml:space="preserve">        
An evacuation guidance approach based on multi-agent shared Q-learning</t>
  </si>
  <si>
    <t>Assessment of the impact of temporal and spatial factors on the emergency evacuation capacity of external spaces in high-density urban communities during earthquake disasters</t>
  </si>
  <si>
    <t xml:space="preserve">	
Enhancing local flood resilience: A participatory simulation-game framework for evacuation planning in Thailand</t>
  </si>
  <si>
    <t>Terremoto</t>
  </si>
  <si>
    <t>Integrating human behaviors in an agent-based model for multi-floor building emergency evacuation</t>
  </si>
  <si>
    <t xml:space="preserve">	
Towards Intelligent Emergency Management: A Scenario–Learning–Decision Framework Enabled by Large Language Models</t>
  </si>
  <si>
    <t xml:space="preserve">	
A three-dimensional safe escape path dynamic planning method based on multi-modal fire information sensing and deep reinforcement learning</t>
  </si>
  <si>
    <t>AI-Assisted Regional Collaborative Game of an Emergency Supplies Reserve Supply Chain</t>
  </si>
  <si>
    <t>Reactive persistent surveillance by heterogeneous multi-agents with energy constraint</t>
  </si>
  <si>
    <t xml:space="preserve">        
Multi-Agent Deep Reinforcement Learning-based path planning for crowd evacuation in buildings</t>
  </si>
  <si>
    <t xml:space="preserve">	
PSO-PPO-based reinforcement learning control strategy for active suspension systems under multiple operating conditions</t>
  </si>
  <si>
    <t>Joint Mobility and Routing Optimization in UAV-Assisted Networks via RSSI-Based Localization and Multiagent DRL</t>
  </si>
  <si>
    <t>Microscopic simulation of the elderly evacuation in nursing homes</t>
  </si>
  <si>
    <t xml:space="preserve">	
Multi-UAV assisted cross-boundary communication scheme for AUV swarms via multi-agent reinforcement learning approach</t>
  </si>
  <si>
    <t>LittoSIM-GEN: A generic platform of coastal flooding management for participatory simulation</t>
  </si>
  <si>
    <t>User engagement and its resilience enhancement mechanisms in online communities: An integrated approach with deep reinforcement learning</t>
  </si>
  <si>
    <t xml:space="preserve">	
An evacuation guidance approach based on multi-agent shared Q-learning</t>
  </si>
  <si>
    <t>Optimizing emergency evacuation control strategies for university turnstiles in crisis situations | 突发事件下高校闸机应急疏散管控策略</t>
  </si>
  <si>
    <t>UAV Autonomous Control Using Multi-Agent Reinforcement Learning in a Cooperative Control UAV Network</t>
  </si>
  <si>
    <t>Simulation-Based and Risk-Informed Assessment of the Effectiveness of Tsunami Evacuation Routes Using Agent-Based Modeling: A Case Study of Seaside, Oregon</t>
  </si>
  <si>
    <t>Integrated multi-agent-based outpatient building fire response modeling for risk-driven resource use and retrofitting strategies: A case study</t>
  </si>
  <si>
    <t>Multi-Agent Deep Reinforcement Learning for Efficient Vehicular Mobility via Federated Fog Computing</t>
  </si>
  <si>
    <t xml:space="preserve">	
Time prediction of human evacuation from passenger ships based on machine learning methods</t>
  </si>
  <si>
    <t>Analyzing wildfire evacuation dynamics with agent-based modeling in damaged road networks</t>
  </si>
  <si>
    <t xml:space="preserve">	
Flood-ABM: An agent-based model of differential flood effects on population groups and their decision-making processes</t>
  </si>
  <si>
    <t>Simulating emergencies with transport outcomes Sim (SETOSim): Application of an agent-based decision support tool to community evacuation planning</t>
  </si>
  <si>
    <t xml:space="preserve">	
Multi-Agent Deep Reinforcement Learning-based path planning for crowd evacuation in buildings</t>
  </si>
  <si>
    <t xml:space="preserve">	
Quantitative analysis of the effectiveness of real-time indoor navigation and information sharing for collaborative fire response</t>
  </si>
  <si>
    <t>An agent-based model for simulating cooperative behavior in crowd evacuation during toxic gas terrorist attacks</t>
  </si>
  <si>
    <t>I. Químico</t>
  </si>
  <si>
    <t xml:space="preserve">        
Multi-agent simulation of individuals' escape in the urban rainstorm context based on dynamic recognition-primed decision model</t>
  </si>
  <si>
    <t xml:space="preserve">	
Computation Offloading and Resource Allocation Strategy Considering User Mobility in Multi-UAV Assisted Semantic Communication Networks</t>
  </si>
  <si>
    <t xml:space="preserve">        
Analysis of flood evacuation process in vulnerable community with mutual aid mechanism: An agent-based simulation framework</t>
  </si>
  <si>
    <t xml:space="preserve">	
Resident Participation in Flood Response: A Machine Learning and Agent-Based Simulation Study of Zhengzhou, China</t>
  </si>
  <si>
    <t xml:space="preserve">        
AI-driven decision-making for water resource planning and hazard mitigation using automated multi-agents</t>
  </si>
  <si>
    <t xml:space="preserve">	
Enhanced Density-driven Control of Multi-agent UAV Systems for Efficient Victim Detection in Large-scale Disaster Scenarios</t>
  </si>
  <si>
    <t>Dynamic assessment of population life loss risk due to flood disasters | 洪涝灾害人口生命损失风险动态评估</t>
  </si>
  <si>
    <t>Tsunami vertical-evacuation planning in the U.S. Pacific Northwest as a geospatial, multi-criteria decision problem</t>
  </si>
  <si>
    <t xml:space="preserve">	
Examining mental resilience of contractor in urban rail transit construction project under disruptive events</t>
  </si>
  <si>
    <t xml:space="preserve">        
Multi-agent cooperation simulation for urban flood disaster emergency rescue | 基于城市洪涝灾害应急救援的多主体协同仿真</t>
  </si>
  <si>
    <t>ACS2-Powered Pedestrian Flow Simulation for Crowd Dynamics</t>
  </si>
  <si>
    <t xml:space="preserve">        
Multiple unmanned surface vehicles pursuit method based on adversarial evolutionary reinforcement learning | 基 于 对 抗 进 化 强 化 学 习 的 多 无 人 艇 追 捕 方 法</t>
  </si>
  <si>
    <t xml:space="preserve">        
Beyond Static Estimates: Dynamic Simulation of Fire–Evacuation Interaction in Historical Districts</t>
  </si>
  <si>
    <t>Thermal performance of post-disaster housing and its impact on occupant comfort: An integrated ML-ABM approach</t>
  </si>
  <si>
    <t xml:space="preserve">	
Strengthening Infrastructure Resilience to Hurricanes by Modeling Transportation and Electric Power Network Interdependencies</t>
  </si>
  <si>
    <t>A Bayesian agent-based model and software for wildfire safe evacuation planning and management</t>
  </si>
  <si>
    <t xml:space="preserve">	
Revolutionizing Urban Traffic Management: IoT-Driven Algorithms for Intelligent Transportation Systems</t>
  </si>
  <si>
    <t xml:space="preserve">        
Optimizing Shelter Site Locations in Residential Community: A Geo-Simulation and Genetic Algorithm Approach</t>
  </si>
  <si>
    <t xml:space="preserve">	
Dynamic flood evacuation modelling for coastal cities: A case study of Shanghai</t>
  </si>
  <si>
    <t>Modelling emergent pedestrian evacuation behaviors from intelligent, game-playing agents</t>
  </si>
  <si>
    <t>Gemini: A Cascaded Dual-Agent DRL Framework for Task Chain Planning in UAV-UGV Collaborative Disaster Rescue</t>
  </si>
  <si>
    <t xml:space="preserve">	
Fairness Criteria in Multi-Agent Systems: Optimizing Autonomous Traffic Management Through the Hierarchical Stackelberg Strategy</t>
  </si>
  <si>
    <t>Crowd Evacuation Dynamics Under Shooting Attacks in Multi-Story Buildings</t>
  </si>
  <si>
    <t>Ataque</t>
  </si>
  <si>
    <t xml:space="preserve">	
AI-driven decision-making for water resource planning and hazard mitigation using automated multi-agents</t>
  </si>
  <si>
    <t xml:space="preserve">	
An innovative framework to assess the human-water relationship in complex pluvial flooding system at urban meso-scales</t>
  </si>
  <si>
    <t>IoT-Enabled Adaptive Traffic Management: A Multiagent Framework for Urban Mobility Optimisation</t>
  </si>
  <si>
    <t xml:space="preserve">	
An advantage duPLEX dueling multi-agent Q-learning algorithm for multi-UAV cooperative target search in unknown environments</t>
  </si>
  <si>
    <t xml:space="preserve">	
Multi-agent cooperation simulation for urban flood disaster emergency rescue | 基于城市洪涝灾害应急救援的多主体协同仿真</t>
  </si>
  <si>
    <t xml:space="preserve">	
Beyond Static Estimates: Dynamic Simulation of Fire–Evacuation Interaction in Historical Districts</t>
  </si>
  <si>
    <t xml:space="preserve">	
Resource state adaptive collaboration mechanism based on resource modeling and multi-agent system</t>
  </si>
  <si>
    <t>A Multiagent-based Framework on RoboCup Simulation System for Enhancing Rescue Operation during Dynamic Disaster Environments</t>
  </si>
  <si>
    <t xml:space="preserve">	
Optimizing Shelter Site Locations in Residential Community: A Geo-Simulation and Genetic Algorithm Approach</t>
  </si>
  <si>
    <t xml:space="preserve">	
Facing climate change: How to manage the arising new crises</t>
  </si>
  <si>
    <t>Evacuation Behavioural Instructions with 3D Motions: Insights from Three Use Cases</t>
  </si>
  <si>
    <t xml:space="preserve">        
Enhancing Airport Traffic Flow: Intelligent System Based on VLC, Rerouting Techniques, and Adaptive Reward Learning †</t>
  </si>
  <si>
    <t xml:space="preserve">	
Assessing the impact of early warning and evacuation on human losses during the 2021 Ahr Valley flood in Germany using agent-based modelling</t>
  </si>
  <si>
    <t>Coordination mechanisms applied to logistical systems for local disaster preparedness: a Latin American case</t>
  </si>
  <si>
    <t xml:space="preserve">	
A congestion prediction model for optimizing emergency evacuation design of university libraries in China</t>
  </si>
  <si>
    <t xml:space="preserve">	
Impact of the Population Pyramid on the Emergency Department | Impacto de la Pirámide Poblacional en el Servicio de Urgencias Hospitalarias</t>
  </si>
  <si>
    <t xml:space="preserve">	
Dynamic Assessment of Population Exposure to Urban Flooding Considering Building Characteristics</t>
  </si>
  <si>
    <t>Grasping emergency dynamics: A review of group evacuation techniques and strategies in major emergencies</t>
  </si>
  <si>
    <t>Improving evacuation policies through agent-based modeling and stakeholder engagement in hazard-prone areas</t>
  </si>
  <si>
    <t xml:space="preserve">	
Optimizing crowd evacuation: evaluation of strategies for safety and efficiency</t>
  </si>
  <si>
    <t>Evacuation time estimates for life safety in Tsunami hazards</t>
  </si>
  <si>
    <t xml:space="preserve">	
Modeling residents’ long-term adaptation to geohazards in mountainous regions using agent-based models and Bayesian networks</t>
  </si>
  <si>
    <t>A multiscale physically-based approach to urban flood risk assessment using ABM and multi-source remote sensing data</t>
  </si>
  <si>
    <t xml:space="preserve">	
Leveraging Computational Model Approach in Understanding Infectious Disease: A Case Study in Sabah, Malaysia</t>
  </si>
  <si>
    <t xml:space="preserve">	
Simulating human behavior under earthquake early warning</t>
  </si>
  <si>
    <t xml:space="preserve">	
Agent-based modelling for flood evacuation as inclusive disaster risk reduction: Pilot participatory action research with 11- and 12-year-old children from a Japanese school</t>
  </si>
  <si>
    <t xml:space="preserve">	
The impact of preschool children requiring adult assistance on evacuation efficiency</t>
  </si>
  <si>
    <t xml:space="preserve">        
A congestion prediction model for optimizing emergency evacuation design of university libraries in China</t>
  </si>
  <si>
    <t xml:space="preserve">	
Agent-based modeling for estimating the performance of medical service systems in disaster scenarios</t>
  </si>
  <si>
    <t xml:space="preserve">	
Verification and Validation of Agent-Based Models for Resilience Analysis and Simulation</t>
  </si>
  <si>
    <t>Modelling diversity in hospital strategies in city-scale ambulance dispatching with coupled game-theoretic model and discrete-event simulation</t>
  </si>
  <si>
    <t xml:space="preserve">	
Enhancing the level of confidence in the safe fire evacuation operation employing a combination of BIM and fuzzy TOPSIS method</t>
  </si>
  <si>
    <t>Enhancing Building Safety: A Brief Review of Agent-Based Modeling for Fire Evacuation Simulation</t>
  </si>
  <si>
    <t>A Framework for Constructing Agent-based Models for Evaluating Emergency Evacuation Procedures; A Case Study Applied to Egaleo, Greece</t>
  </si>
  <si>
    <t xml:space="preserve">	
Designing a Tool for Evacuation Plan Validation: Multi-Agent Simulations with Persona-Based UI</t>
  </si>
  <si>
    <t xml:space="preserve">        
Modeling residents’ long-term adaptation to geohazards in mountainous regions using agent-based models and Bayesian networks</t>
  </si>
  <si>
    <t>Agent-based simulation model for evacuation operations in fire disasters</t>
  </si>
  <si>
    <t xml:space="preserve">	
Crisis Control: Agent-Based Models with PyCX for Modeling Crowd Dynamics During Evacuations</t>
  </si>
  <si>
    <t xml:space="preserve">	
Conversation Simulation and Behavioral Change Design for Evacuation Decision-Making</t>
  </si>
  <si>
    <t xml:space="preserve">	
Cellular Automaton-Based Dynamic Emergency Evacuation with Real-Time Visualization</t>
  </si>
  <si>
    <t>Enhancing Building Evacuation Efficiency in Case of Fire Breakout by Integrating Evacuee Categorization into an Agent-Based Simulation</t>
  </si>
  <si>
    <t xml:space="preserve">        
Agent-based modelling for flood evacuation as inclusive disaster risk reduction: Pilot participatory action research with 11- and 12-year-old children from a Japanese school</t>
  </si>
  <si>
    <t>ENHANCING FLOOD EARLY WARNING DISSEMINATION AND EVACUATION RESPONSE THROUGH AGENT-BASED MODELLING</t>
  </si>
  <si>
    <t xml:space="preserve">	
Agent-Based Modeling for Emergency Supply Network Planning: A Bi-Objective Optimization Perspective</t>
  </si>
  <si>
    <t xml:space="preserve">	
Intelligent Agents in Disaster Risk Management: A Systematic Review of Advances and Challenges</t>
  </si>
  <si>
    <t xml:space="preserve">        
The impact of preschool children requiring adult assistance on evacuation efficiency</t>
  </si>
  <si>
    <t xml:space="preserve">	
Creating A Model for Evacuation Simulation of Earthquakes in Multi-Storey Buildings using 3D GIS and Agent-Based Model (ABM)</t>
  </si>
  <si>
    <t>A simulation-based method for the optimal building evacuation plan: a study of emergency behavior among older adults</t>
  </si>
  <si>
    <t xml:space="preserve">        
Agent-based modeling for estimating the performance of medical service systems in disaster scenarios</t>
  </si>
  <si>
    <t>Designing Agent Behaviours for the Development of an Agent-Based Modelling and Simulation for Emergency Response</t>
  </si>
  <si>
    <t>Proposing a Demographic Approach to Enhancing Evacuation Simulations (PRISM)</t>
  </si>
  <si>
    <t xml:space="preserve">	
Modeling the Evacuation from a Regional Disaster Using the Poisson Distribution</t>
  </si>
  <si>
    <t xml:space="preserve">	
CIM-MARL-Based Dynamic Coupling Risk Assessment and Real-Time Decision Optimization for Fire Emergencies</t>
  </si>
  <si>
    <t xml:space="preserve">	
Flood Watch: A Multi-Agent System for Smarter Disaster Response</t>
  </si>
  <si>
    <r>
      <rPr>
        <rFont val="Arial"/>
        <color theme="1"/>
      </rPr>
      <t xml:space="preserve">        
</t>
    </r>
    <r>
      <rPr>
        <rFont val="Arial"/>
        <color rgb="FF38761D"/>
      </rPr>
      <t>Conversation Simulation and Behavioral Change Design for Evacuation Decision-Making</t>
    </r>
  </si>
  <si>
    <t>Research on Fire Safety Emergency Management Model Based on Multi-Agent Simulation</t>
  </si>
  <si>
    <t>Autonomous ground vehicles for MEDEVAC: capability assessment based on agent-based modelling</t>
  </si>
  <si>
    <t xml:space="preserve">	
Use of Agent-Based Simulation Models: A Review for First Responder Capabilities in Disaster Response</t>
  </si>
  <si>
    <t xml:space="preserve">        
Cellular Automaton-Based Dynamic Emergency Evacuation with Real-Time Visualization</t>
  </si>
  <si>
    <t xml:space="preserve">	
How to Get People to Leave: Exploring the Influence of Warning Message Informativity on the Evacuation of Large-Scale Events</t>
  </si>
  <si>
    <t xml:space="preserve">	
Research on Information Transmission Methods in Consideration of Regional Characteristics to Promote Evacuation Actions During Flood Disasters</t>
  </si>
  <si>
    <t>Agent-based Modeling and Simulation of Ambiguity in Catastrophe Insurance Markets</t>
  </si>
  <si>
    <t>A Customizable Agent-Based Simulation Framework for Emergency Departments</t>
  </si>
  <si>
    <t>Simulation Study of Decision-Making Behavior in Urban Flood Drainage and Rescue Operations Based on ABM</t>
  </si>
  <si>
    <t xml:space="preserve">	
Modeling evacuation activities amid compound hazards: Insights from hurricane Irma in Southeast Florida</t>
  </si>
  <si>
    <t xml:space="preserve">	
An integrated framework for analysing horizontal and vertical tsunami evacuation. A case study of Iquique, Chile</t>
  </si>
  <si>
    <t xml:space="preserve">        
Creating A Model for Evacuation Simulation of Earthquakes in Multi-Storey Buildings using 3D GIS and Agent-Based Model</t>
  </si>
  <si>
    <t xml:space="preserve">	
Simulation study on the impact of emergency command on earthquake emergency rescue based on multi-agent modeling | 基于多 Agent 模型的应急指挥对地震应急救援的影响仿真研究</t>
  </si>
  <si>
    <t xml:space="preserve">	
Development of a Large Language Model-based Multi-Agent Clinical Decision Support System for Korean Triage and Acuity Scale (KTAS)-Based Triage and Treatment Planning in Emergency Departments</t>
  </si>
  <si>
    <t>Simultaneous Structural and Parameter Optimization in Agent-Based Models Using Adaptive Genetic Programming</t>
  </si>
  <si>
    <t xml:space="preserve">	
Using a hybrid simulation model to assess the impacts of combined COVID-19 containment measures in a high-speed train station</t>
  </si>
  <si>
    <t>A Conceptual High Level Multiagent System for Wildfire Management</t>
  </si>
  <si>
    <t xml:space="preserve">	
Density-Driven Formation Control of a Multi-Agent System with an Application to Search-and-Rescue Missions</t>
  </si>
  <si>
    <t xml:space="preserve">	
Simulating the Effects of Prior Environmental Knowledge on Fire Egress</t>
  </si>
  <si>
    <t xml:space="preserve">        
How to Get People to Leave: Exploring the Influence of Warning Message Informativity on the Evacuation of Large-Scale Events</t>
  </si>
  <si>
    <t xml:space="preserve">	
Hierarchical Q-Learning Path Planning for Cooperative Tracking Control of Multi-Agent Systems with Lumped Uncertainties</t>
  </si>
  <si>
    <t>Dynamic Fire Response in Railway Construction Scenarios:Collaborative Control Optimization of Worker Evacuation and Equipment Rescue Based on Multi-Agent DRL with Adaptive Path Planning</t>
  </si>
  <si>
    <t xml:space="preserve">	
An ABMS COVID-19 Propagation Model for Hospital Emergency Departments</t>
  </si>
  <si>
    <t>Resilient Smart Cities through AI-Enabled Cyber-Physical Systems: Autonomous Vehicles as Decentralized First Responders</t>
  </si>
  <si>
    <t xml:space="preserve">	
Towards Fair and Secure Shelter Allocation: EDMONTON-Emergency Distribution via Multi-Agent Optimization and Non-Monetary Transparent Open Network</t>
  </si>
  <si>
    <t xml:space="preserve">        
Modeling evacuation activities amid compound hazards: Insights from hurricane Irma in Southeast Florida</t>
  </si>
  <si>
    <t>Furacão</t>
  </si>
  <si>
    <t xml:space="preserve">	
MAS-PatientCare: Medical Diagnosis and Patient Management System Based on a Multi-agent Architecture</t>
  </si>
  <si>
    <t>Multi-Agent Reinforcement Learning Based Trajectory Design for UAV-Assisted Emergency Wireless Communication</t>
  </si>
  <si>
    <t xml:space="preserve">        
An integrated framework for analysing horizontal and vertical tsunami evacuation. A case study of Iquique, Chile</t>
  </si>
  <si>
    <t xml:space="preserve">	
Information-based Decision Support System Driven by Artificial Intelligence</t>
  </si>
  <si>
    <t xml:space="preserve">	
A Novel IS Framework for Natural Disaster Management</t>
  </si>
  <si>
    <t xml:space="preserve">        
Using a hybrid simulation model to assess the impacts of combined COVID-19 containment measures in a high-speed train station</t>
  </si>
  <si>
    <t>A two-layer UAV cooperative computing offloading strategy based on deep reinforcement learning</t>
  </si>
  <si>
    <t xml:space="preserve">	
Framework for Cooperative Routing Optimization in FANETs: A Multi-Agent Perspective</t>
  </si>
  <si>
    <t>Hierarchical Human-UAV Cooperative Task Allocation for Spatiotemporal Crowdsensing in Disaster Response</t>
  </si>
  <si>
    <t xml:space="preserve">        
Simulating the Effects of Prior Environmental Knowledge on Fire Egress</t>
  </si>
  <si>
    <t xml:space="preserve">	
Task Decision-Making and Obstacle Clearing Optimization of Police Agents in RoboCup Rescue Simulation System</t>
  </si>
  <si>
    <t>Unity</t>
  </si>
  <si>
    <t>Self-Organised Criticality in Global Supply Chain Network</t>
  </si>
  <si>
    <t>Impact of a Dynamic Nurse-to-Patient Ratio Policy in the ICU: a Hybrid Simulation Model</t>
  </si>
  <si>
    <t>IMPACT OF A DYNAMIC NURSE-TO-PATIENT RATIO POLICY IN THE ICU: A HYBRID SIMULATION MODEL</t>
  </si>
  <si>
    <t>SIM</t>
  </si>
  <si>
    <t xml:space="preserve">        
Towards Fair and Secure Shelter Allocation: EDMONTON-Emergency Distribution via Multi-Agent Optimization and Non-Monetary Transparent Open Network</t>
  </si>
  <si>
    <t xml:space="preserve">	
Multi-Agent Q-Net Enhanced Coevolutionary Algorithm for Resource Allocation in Emergency Human-Machine Fusion UAV-MEC System</t>
  </si>
  <si>
    <t xml:space="preserve">	
Dynamic UAV Swarm Control in Disaster Recovery via GenAI-Based Graph Reinforcement Learning</t>
  </si>
  <si>
    <t xml:space="preserve">	
Mitigating direct and indirect costs of unexpected pandemics: a parallel vaccination strategy utilizing agent-based simulation</t>
  </si>
  <si>
    <t>An evacuation model considering pedestrian group behavior under violent attacks</t>
  </si>
  <si>
    <t>Sentiment Evolution of Online Public Opinion of Emergency Situations in Railway Stations: A Case Study of Wuhan Railway Stations</t>
  </si>
  <si>
    <t xml:space="preserve">	
Preliminary Comparison of Different EDs Performance, Using Simulation</t>
  </si>
  <si>
    <t>Agent-Based Evacuation Modeling: Enhancing Building Safety in Emergency Scenarios</t>
  </si>
  <si>
    <t>Penalties as Feedback on AV Behaviour</t>
  </si>
  <si>
    <t xml:space="preserve">	
Emergency Control Method of Multi-Modal Passenger Flow in Urban Rail Transit</t>
  </si>
  <si>
    <t xml:space="preserve">        
Reinforcement learning-based tsunami evacuation guidance system</t>
  </si>
  <si>
    <t xml:space="preserve">	
A Novel Multi-Agent RL Approach in Priority-Aware UAV-Assisted Networks for AoI and Energy Consumption Minimization</t>
  </si>
  <si>
    <t>Early COVID-19 Pandemic Preparedness: Informing Public Health Interventions and Hospital Capacity Planning Through Participatory Hybrid Simulation Modeling</t>
  </si>
  <si>
    <t>Improving Tsunami Risk Analysis by Integrating Spatial Resolution and the Population’s Evacuation Capacities: A Case Study of Cartagena, Chile</t>
  </si>
  <si>
    <t xml:space="preserve">	
Efficient Merging at Work Zones to Support Emergency Response in Mixed Traffic Environments: A Reward Weight Adjustment Method for Multi-Agent Reinforcement Learning</t>
  </si>
  <si>
    <t>Deep Reinforcement Learning-Based Intelligent Resource Management in Multi-UAVs-Assisted MEC Emergency Communication System</t>
  </si>
  <si>
    <t>Socratic: Enhancing Human Teamwork via AI-enabled Coaching</t>
  </si>
  <si>
    <t>An agent-based model of post-disaster recovery in multilayer socio-physical networks</t>
  </si>
  <si>
    <t>Optimization of hard shoulder running on highways using multi-agent reinforcement learning considering emergency vehicles</t>
  </si>
  <si>
    <t>A Hierarchical Multi-Task and Multi-Agent Assignment Approach: Learning DQN Strategy From Execution</t>
  </si>
  <si>
    <t>Human-safe based electric vehicle evacuation in transportation-power networks during emergencies: A two-stage response framework</t>
  </si>
  <si>
    <t>Energy optimization-based agent motion model: a hybrid approach integrating data-driven methods and trajectory prediction for intersection traffic simulation</t>
  </si>
  <si>
    <t xml:space="preserve">	
Hybrid FSM-MARL Crowd Simulation for Retail Visualization in Unity</t>
  </si>
  <si>
    <t>Environmental factors in tsunami evacuation simulation: topography, traffic jam, human behaviour</t>
  </si>
  <si>
    <t xml:space="preserve">	
An activity scheduling and multi-agent micro-simulation platform (ASMMSP) based on long-term cellular data and considering multi-mode transfer</t>
  </si>
  <si>
    <t xml:space="preserve">	
Dual-Mode UAV Collaboration in Unknown Environments: A Frontier-Integrated MASAC Approach with Dynamic Role Specialization</t>
  </si>
  <si>
    <t xml:space="preserve">	
Joint Movement and User Association of UAV-BS for Indoor User Service: A Multi-Agent Deep Reinforcement Learning Approach</t>
  </si>
  <si>
    <t xml:space="preserve">        
Comparative Analysis of Tsunami Casualty Estimation Approaches: Agent-Based Modeling versus Simplified Approach in Japanese Coastal Cities</t>
  </si>
  <si>
    <t>Task-priority Intermediated Hierarchical Distributed Policies: Reinforcement Learning of Adaptive Multi-robot Cooperative Transport</t>
  </si>
  <si>
    <t>Multi-UAV Path Planning for Plural Data Collection: Distributed Multiagent Deep Reinforcement Learning Algorithms</t>
  </si>
  <si>
    <t>Joint Trajectory Design and User Scheduling for Heterogeneous UAVs Assisted Intelligent Communication Networks</t>
  </si>
  <si>
    <t xml:space="preserve">	
Human-in-The-Loop Prescribed Performance Optimal Control for Multiagent Systems Under DoS Attacks: An Error Reconstruction Mechanism</t>
  </si>
  <si>
    <t xml:space="preserve">	
Woxbots: A Low-Cost Swarm Robotics Platform for Real-Time Pattern Formation and Path Planning</t>
  </si>
  <si>
    <t>Towards Smarter and Safer Traffic Signal Control via Multiagent Deep Reinforcement Learning</t>
  </si>
  <si>
    <t>Age of Information and Energy Optimization in Cooperative Multi-RSU C-V2X Networks</t>
  </si>
  <si>
    <t>Toward Energy Efficiency and Fairness in UAV-Based Task Offloading</t>
  </si>
  <si>
    <t>Resource Allocation Optimization in Direct Satellite-to-Device Networks Based on Multi-Agent Reinforcement Learning</t>
  </si>
  <si>
    <t xml:space="preserve">	
Collaborative Target Search with a Visual Drone Swarm: An Adaptive Curriculum Embedded Multistage Reinforcement Learning Approach</t>
  </si>
  <si>
    <t>Trusted Routing for Blockchain-Enabled Low-Altitude Intelligent Networks</t>
  </si>
  <si>
    <t xml:space="preserve">	
A path planning algorithm for multi -- AUVs operating in unstructured underwater terrain environments</t>
  </si>
  <si>
    <t xml:space="preserve">        
Integrating GIS, agent-based, and discrete event simulation to evaluate patient distribution policies for enhancing urban healthcare access network resilience</t>
  </si>
  <si>
    <t xml:space="preserve">	
A Centralized Reinforcement Learning-Based Method for Traffic Signal Optimization Using an Adaptive Sequential Decision</t>
  </si>
  <si>
    <t>LLM-Powered UAVs: A RAG-Based Approach for Safety-Critical Operations</t>
  </si>
  <si>
    <t>Design for safety in metro station evacuation: a study of fire emergency evacuation behavior and simulation</t>
  </si>
  <si>
    <t>Learning to allocate: a delay and temperature-aware slot allocation framework for WBAN with TDMA-MAC</t>
  </si>
  <si>
    <t>Deep Reinforcement Learning-Based Traffic Signal Control for Urban Congestion</t>
  </si>
  <si>
    <t>Impact of information provision on tsunami evacuation behavior of residents and international tourists in Japan</t>
  </si>
  <si>
    <t xml:space="preserve">	
Two-Layer Model Predictive Control of Microgrids: Cost Optimization and Resilience Through Adaptive Setpoint Coordination</t>
  </si>
  <si>
    <t>From Geographic Information System to Geographic Intelligent Agent | 从地理信息系统到地理智能体</t>
  </si>
  <si>
    <t xml:space="preserve">	
Generative AI-Driven Multiagent DRL for Task Allocation in UAV-Assisted EMPD Within 6G-Enabled SAGIN Networks</t>
  </si>
  <si>
    <t>Flee 3: Flexible agent-based simulation for forced migration</t>
  </si>
  <si>
    <t>Guerra</t>
  </si>
  <si>
    <t>Soaring Beyond Rotors: Decentralized Coordination of Fixed-Wing UAVs for Energy-Efficient Wireless Coverage</t>
  </si>
  <si>
    <t>Multi-Agent Deep Reinforcement Learning for Dynamic Routing in MANETs Using Graph Neural Networks</t>
  </si>
  <si>
    <t xml:space="preserve">        
An agent-based modeling method to determine the number of flash flood warnings for improving the warning response levels</t>
  </si>
  <si>
    <t xml:space="preserve">	
A Self-Evolving Multi-Agent Robotic Swarm with Reinforcement Learning and Quantum Firefly-Ant Colony Optimization for Adaptive Environmental Monitoring</t>
  </si>
  <si>
    <t>Wireless Resource Optimization for UAV Swarm Cooperative Sensing via Multi-agent Multi-task Deep Reinforcement Learning</t>
  </si>
  <si>
    <t xml:space="preserve">        
Simulation of smallholder farmers’ adaptation to irrigation-induced landslides: An ABM application in human-land-policy interaction</t>
  </si>
  <si>
    <t>Deslizamento</t>
  </si>
  <si>
    <t>Optimization of multi-UAV deployment for energy-efficient data collection: a deep reinforcement learning approach</t>
  </si>
  <si>
    <t xml:space="preserve">	
Efficient Task Offloading and Resource Allocation in HAPS-Assisted LEO Satellite Networks: A MAPPO with Exact Potential Game Approach</t>
  </si>
  <si>
    <t xml:space="preserve">        
An Agent-Based Modeling of COVID-19: Validation, Analysis, and Recommendations</t>
  </si>
  <si>
    <t>Pandemia</t>
  </si>
  <si>
    <t>Remote Sensing Task-oriented Task Partitioning and Data Distribution in Satellite Edge Computing Networks with Multipath Offloading</t>
  </si>
  <si>
    <t xml:space="preserve">	
From Static to Adaptive Defense: Federated Multi-Agent Deep Reinforcement Learning-Driven Moving Target Defense Against DoS Attacks in UAV Swarm Networks</t>
  </si>
  <si>
    <t>How does evacuation risk change over time? Influences on evacuation strategies during accidental toxic gas releases</t>
  </si>
  <si>
    <t>Collisions-Free and Connectivity-Preserving Distributed Cooperative Output Regulation of Nonlinear Multiagent Systems</t>
  </si>
  <si>
    <t xml:space="preserve">	
Innovative Integration of Visible Light Communication and Artificial Intelligence to Enhance Urban Traffic Management</t>
  </si>
  <si>
    <t xml:space="preserve">	
Enhancing Traffic Flow with Visible Light Communication: A Deep Reinforcement Learning Approach</t>
  </si>
  <si>
    <t>Agent-based Modelling of Urban Rainstorm Flood Disaster Early Warning Strategy Simulation | 基于主体建模的城市暴雨洪涝灾害预警策略仿真研究</t>
  </si>
  <si>
    <t xml:space="preserve">	
Reinforcement learning-based tsunami evacuation guidance system</t>
  </si>
  <si>
    <t xml:space="preserve">	
Agent-based simulation of fake news dissemination: the role of trust assessment and big five personality traits on news spreading</t>
  </si>
  <si>
    <t>Modeling staged and simultaneous evacuation during a volcanic crisis of La Soufrière of Guadeloupe (France)</t>
  </si>
  <si>
    <t xml:space="preserve">	
Simplifying traffic simulation - from Euclidean distances to agent-based models</t>
  </si>
  <si>
    <t>Vulcão</t>
  </si>
  <si>
    <t>Evaluating the robustness of the ARIO model for a local disaster: 2021 flooding in Germany</t>
  </si>
  <si>
    <t xml:space="preserve">	
Offline and online task allocation algorithms for multiple UAVs in wireless sensor networks</t>
  </si>
  <si>
    <t xml:space="preserve">        
Agent-based simulation of seismic crisis including human behavior: application to the city of Beirut, Lebanon</t>
  </si>
  <si>
    <t xml:space="preserve">        
An Agent-Based Modeling Approach to Protective Action Decision-Related Travel during Tornado Warnings</t>
  </si>
  <si>
    <t xml:space="preserve">	
How have regional evacuation conditions changed over time? Evacuation model for alternative scenarios given the accident environment, regional environment, and social systems</t>
  </si>
  <si>
    <t>Tornado</t>
  </si>
  <si>
    <t>Modelling patient trajectories in emergency department simulations using retrospective patient cohorts</t>
  </si>
  <si>
    <t>A metamodel for sensitivity and uncertainty analysis in the modeling of loss of life due to dam failures</t>
  </si>
  <si>
    <t xml:space="preserve">        
A situation-aware emergency evacuation (SAEE) model using multi-agent-based simulation for crisis management after earthquake warning</t>
  </si>
  <si>
    <t>Multilayer Satellite Network Collaborative Mobile Edge Caching: A GCN-Based Multi-Agent Approach</t>
  </si>
  <si>
    <t xml:space="preserve">	
Joint optimization of communication and mission performance for multi-UAV collaboration network: A multi-agent reinforcement learning method</t>
  </si>
  <si>
    <t xml:space="preserve">        
Pedestrian Evacuation Modeling Using Agent-Based Model and Social-Force Model</t>
  </si>
  <si>
    <t>Review</t>
  </si>
  <si>
    <t xml:space="preserve">	
Enhancing Radiological Emergency Response Through Agent-Based Model Case 1: Effectiveness of Staged Evacuation</t>
  </si>
  <si>
    <t>Enhancing Radiological Emergency Response Through Agent-Based Model Case 2: Time Required for Staff Assemble</t>
  </si>
  <si>
    <t xml:space="preserve">	
Comparative Analysis of Tsunami Casualty Estimation Approaches: Agent-Based Modeling versus Simplified Approach in Japanese Coastal Cities</t>
  </si>
  <si>
    <t xml:space="preserve">        
USING AGENT-BASED MODELING TO CALCULATE AN EASE SCORE: EVACUATION WITH ACCEPTABLE SIMPLICITY IN EMERGENCIES</t>
  </si>
  <si>
    <t xml:space="preserve">	
Dynamic disaster risk assessment of urban waterlogging on pedestrian flow by intelligent simulation of hydrodynamics coupled with agent-based models in Chao-yang river basin of Nanning, China</t>
  </si>
  <si>
    <t>Real time patient scheduling orchestration for improving key performance indicators in a hospital emergency department</t>
  </si>
  <si>
    <t>Integration of Emotional-Cognitive Architecture in ACT-R for Multi-Agent Social Dynamics for Disaster Response Simulation</t>
  </si>
  <si>
    <t>A two-way coupled CHANS model for flood emergency management, with a focus on temporary flood defences</t>
  </si>
  <si>
    <t xml:space="preserve">        
Admission screening testing of patients and staff N95 respirators are cost-effective in reducing COVID-19 hospital-acquired infections</t>
  </si>
  <si>
    <t>Agent-based modeling of high-rise building fires reveals self-rescue behaviors and better fire protection designs</t>
  </si>
  <si>
    <t xml:space="preserve">	
Agent-based simulation for pedestrian evacuation: A systematic literature review</t>
  </si>
  <si>
    <t>Simulation-Based Analysis of Evacuation Information Sharing Systems Using Geographical Data</t>
  </si>
  <si>
    <t>Multi-agent-based human cognition simulation of Situation-aware earthquake emergency evacuation</t>
  </si>
  <si>
    <t xml:space="preserve">        
Architecture-oriented agent-based model (AOAM) for optimizing transport evacuation management and emergency medical assistance in the context of the war in Ukraine: challenges and prospects</t>
  </si>
  <si>
    <t>RESOURCE ALLOCATION FOR AUSTRALIAN BUSHFIRE RESPONSE USING AGENT-BASED MODELLING AND SIMULATION</t>
  </si>
  <si>
    <t>Evaluating the Multifactorial Effects on SARS-CoV-2 Spread in Tokyo Metropolitan Area with an Agent-Based Model</t>
  </si>
  <si>
    <t xml:space="preserve">	
Crowd Panic Behavior Simulation Using Multi-Agent Modeling</t>
  </si>
  <si>
    <t xml:space="preserve">        
Modeling of multi-hazard warning dissemination time distributions: An agent-based approach</t>
  </si>
  <si>
    <t xml:space="preserve">	
Architectural interventions to mitigate the spread of SARS-CoV-2 in emergency departments</t>
  </si>
  <si>
    <t xml:space="preserve">        
Simulation of Flood-Induced Human Migration at the Municipal Scale: A Stochastic Agent-Based Model of Relocation Response to Coastal Flooding</t>
  </si>
  <si>
    <t>SENPR disinformation spreading model to discuss the control of the spread of disinformation in emergencies</t>
  </si>
  <si>
    <t xml:space="preserve">	
Increasing resilience to catastrophic near-field tsunamis: systems for capturing, modelling, and assessing vertical evacuation practices</t>
  </si>
  <si>
    <t>Risk analysis of mutual influence relationships among residents under rescue operations in long-term flooded areas</t>
  </si>
  <si>
    <t>Agent-based models of social behaviour and communication in evacuations: A systematic review</t>
  </si>
  <si>
    <t xml:space="preserve">	
An agent-based modeling method to determine the number of flash flood warnings for improving the warning response levels</t>
  </si>
  <si>
    <t xml:space="preserve">        
Fault tree analysis for subway fire evacuation with agent-based modeling</t>
  </si>
  <si>
    <t xml:space="preserve">	
The role of vehicular considerations in tsunami shelter location optimization</t>
  </si>
  <si>
    <t xml:space="preserve">	
Simulation of smallholder farmers’ adaptation to irrigation-induced landslides: An ABM application in human-land-policy interaction</t>
  </si>
  <si>
    <t xml:space="preserve">        
Guiding Evacuees to Improve Fire Building Evacuation Efficiency: Hazard and Congestion Models to Support Decision Making by a Context-Aware Recommender System</t>
  </si>
  <si>
    <t>Collaborative ship scheduling decision model for green tide salvage based on evolutionary population dynamics</t>
  </si>
  <si>
    <t xml:space="preserve">	
Exploring Family Ties and Interpersonal Dynamics—A Geospatial Simulation Analyzing Their Influence on Evacuation Efficiency within Urban Communities</t>
  </si>
  <si>
    <t>An agent-based simulation framework for developing the optimal rescue plan for older adults during the emergency evacuation</t>
  </si>
  <si>
    <t xml:space="preserve">	
Comparative analysis of two evacuation simulation tools when applied to high-rise residential buildings</t>
  </si>
  <si>
    <t xml:space="preserve">	
An Agent-Based Modeling of COVID-19: Validation, Analysis, and Recommendations</t>
  </si>
  <si>
    <t>Optimising egress location in school buildings using mathematical modelling and Agent-Based simulation</t>
  </si>
  <si>
    <t>An agent-based resilience model of oil tank farms exposed to earthquakes</t>
  </si>
  <si>
    <t>Optimization Simulation Study of Urban Flood Drainage Rescue Unit Layout: A Case Study of Beijing Under a Century-Extreme Rainfall Scenario | 城市内涝排水抢险单位布局优化的仿真研究—以北京市百年极端降雨情景为例</t>
  </si>
  <si>
    <t>What Improves Evacuations: Exploring the Hurricane-Forecast-Evacuation System Dynamics Using an Agent-Based Framework</t>
  </si>
  <si>
    <t>The applicability of positive information in negative opinion management: An attitude-laden communication perspective</t>
  </si>
  <si>
    <t>Assessment on dynamic risk of urban flooding and waterlogging disaster based on multi鄄agent models/ | 基于多智能体模型的城市洪涝灾害动态风险评估</t>
  </si>
  <si>
    <t>Augmenting the Social Vulnerability Index using an agent-based simulation of Hurricane Harvey</t>
  </si>
  <si>
    <t>Effectiveness of a Dam-Breach Flood Alert in Mitigating Life Losses: A Spatiotemporal Sectorisation Analysis in a High-Density Urban Area in Brazil</t>
  </si>
  <si>
    <t>TSUNAMI EVACUATION MODEL IN THE PANIMBANG SUBDISTRICT, BANTEN PROVINCE, INDONESIA: GIS-AND AGENT-BASED MODELING APPROACHES</t>
  </si>
  <si>
    <t xml:space="preserve">	
Analyzing the impact of concealed carry weapons and school resource officers on school shootings: An agent-based modeling approach</t>
  </si>
  <si>
    <t xml:space="preserve">        
Individual heights and phase transition under crowd emergencies: Agent-based modeling from 2 to 3D</t>
  </si>
  <si>
    <t xml:space="preserve">	
A hybrid multi-criteria decision-making model for waste facilities location considering system resilience</t>
  </si>
  <si>
    <t>Development of an agent-based model to improve emergency planning for floods and dam failures</t>
  </si>
  <si>
    <t>A High-Performance Coupled Human And Natural Systems (CHANS) Model for Flood Risk Assessment and Reduction</t>
  </si>
  <si>
    <t>A multi-agent reinforcement learning approach for ART adaptive control in automated container terminals</t>
  </si>
  <si>
    <t>AGENT-BASED SIMULATION OF HURRICANE RISK INFORMATION DISSEMINATION</t>
  </si>
  <si>
    <t>The IDEA of Us: An Identity-Aware Architecture for Autonomous Systems</t>
  </si>
  <si>
    <t>Basic model simulation for disaster evacuation routes evaluation using agent based modeling (ABM)</t>
  </si>
  <si>
    <t>Trace Pheromone-Based Energy-Efficient UAV Dynamic Coverage Using Deep Reinforcement Learning</t>
  </si>
  <si>
    <t>Homophily in opinion networks affects collective risk perception in heterogeneous populations</t>
  </si>
  <si>
    <t xml:space="preserve">        
Evaluating human behaviour during a disaster evacuation process: A literature review</t>
  </si>
  <si>
    <t xml:space="preserve">	
Understanding Tsunami Evacuation via a Social Force Model While Considering Stress Levels Using Agent-Based Modelling</t>
  </si>
  <si>
    <t>Risk Simulation of Urban Rainstorm Flood Disasters Considering Crowd Activities</t>
  </si>
  <si>
    <t xml:space="preserve">	
Modeling Sp. Volunteers in Cross-Border Crisis</t>
  </si>
  <si>
    <t>Large scale simulation of pedestrian seismic evacuation including panic behavior</t>
  </si>
  <si>
    <t xml:space="preserve">	
Computation Offloading and Trajectory Planning of Multi-UAV-Enabled MEC: A Knowledge-Assisted Multiagent Reinforcement Learning Approach</t>
  </si>
  <si>
    <t>Development of a Human-Agent Interaction System including Norm and Emotion in an Evacuation Situation</t>
  </si>
  <si>
    <t>Joint Energy and AoI Optimization in UAV-Assisted MEC-WET Systems</t>
  </si>
  <si>
    <t>UAV-Assisted Wireless Cooperative Communication and Coded Caching: A Multiagent Two-Timescale DRL Approach</t>
  </si>
  <si>
    <t xml:space="preserve">        
Development of human-in-the-loop experiment system to extract evacuation behavioral features: A case of evacuees in nuclear emergencies</t>
  </si>
  <si>
    <t xml:space="preserve">	
Coupling an agent-based model and an ensemble Kalman filter for real-time crowd modelling</t>
  </si>
  <si>
    <t>I. Nuclear</t>
  </si>
  <si>
    <t xml:space="preserve">        
Emergency evacuation in a supermarket during a terrorist attack: towards a possible modelling of the influence of affordances on the evacuation behavior of agents in a complex virtual environment</t>
  </si>
  <si>
    <t xml:space="preserve">	
Agent-based simulation of seismic crisis including human behavior: application to the city of Beirut, Lebanon</t>
  </si>
  <si>
    <t xml:space="preserve">	
Real-time RSET prediction across three types of geometries and simulation training dataset: A comparative study of machine learning models</t>
  </si>
  <si>
    <t>Agent-Based Model of Mass Campus Shooting: Comparing Hiding and Moving of Civilians</t>
  </si>
  <si>
    <t xml:space="preserve">	
Proposal of rescue strategies and evaluation of their effectiveness in long-term flooded areas considering the effect of drainage processing</t>
  </si>
  <si>
    <t>Probing an Easy-to-Deploy Multi-Agent Manufacturing System Based on Agent Computing Node: Architecture, Implementation, and Case Study</t>
  </si>
  <si>
    <t xml:space="preserve">	
MADDPG-Based Joint Service Placement and Task Offloading in MEC Empowered Air-Ground Integrated Networks</t>
  </si>
  <si>
    <t xml:space="preserve">        
VR-based fire evacuation in underground rail station considering staff’s behaviors: model, system development and experiment</t>
  </si>
  <si>
    <t xml:space="preserve">	
Cooperative UAV Trajectory Design for Disaster Area Emergency Communications: A Multiagent PPO Method</t>
  </si>
  <si>
    <t>Joint UAV trajectory and communication design with heterogeneous multi-agent reinforcement learning</t>
  </si>
  <si>
    <t>Mathematical Modelling of COVID-19 Incidence in Moscow with an Agent-Based Model</t>
  </si>
  <si>
    <t>Uncertainty analysis of dam-break flood risk consequences under the influence of non-structural measures</t>
  </si>
  <si>
    <t xml:space="preserve">	
An Agent-Based Modeling Approach to Protective Action Decision-Related Travel during Tornado Warnings</t>
  </si>
  <si>
    <t xml:space="preserve">	
Multi-agent deep reinforcement learning based decision support model for resilient community post-hazard recovery</t>
  </si>
  <si>
    <t>An executable domain-specific modeling language for simulating organizational auction-based coordination strategies for crisis response</t>
  </si>
  <si>
    <t>Agent-based radiological emergency evacuation simulation modeling considering mitigation infrastructures</t>
  </si>
  <si>
    <t xml:space="preserve">	
FedRDR: Federated Reinforcement Distillation-Based Routing Algorithm in UAV-Assisted Networks for Communication Infrastructure Failures</t>
  </si>
  <si>
    <t>Seasonal variations in social contact patterns in a rural population in north India: Implications for pandemic control</t>
  </si>
  <si>
    <t xml:space="preserve">        
Urban flood emergency evacuation simulation and its efficiency-fairness tradeoff analysis | 城市洪涝灾害应急疏散模拟及其效率- 公平权衡分析</t>
  </si>
  <si>
    <t xml:space="preserve">	
Impact of different nucleic acid testing scenarios on COVID-19 transmission</t>
  </si>
  <si>
    <t xml:space="preserve">	
A Prescriptive Simulation Framework with Realistic Behavioural Modelling for Emergency Evacuations</t>
  </si>
  <si>
    <t>Multi-agent system for the analysis of social behavior in the face of a seismological event | Sistema multiagente para el análisis del comportamiento social ante un acontecimiento sismológico</t>
  </si>
  <si>
    <t xml:space="preserve">	
A situation-aware emergency evacuation (SAEE) model using multi-agent-based simulation for crisis management after earthquake warning</t>
  </si>
  <si>
    <t xml:space="preserve">	
Pedestrian Evacuation Modeling Using Agent-Based Model and Social-Force Model</t>
  </si>
  <si>
    <t>Modeling Human Emergency Evacuation in Sri Lankan Hospitals: An Agent-Based Approach</t>
  </si>
  <si>
    <t xml:space="preserve">	
USING AGENT-BASED MODELING TO CALCULATE AN EASE SCORE: EVACUATION WITH ACCEPTABLE SIMPLICITY IN EMERGENCIES</t>
  </si>
  <si>
    <t xml:space="preserve">        
Evacuation Simulation Implemented by ABM-BIM of Unity in Students’ Dormitory Based on Delay Time</t>
  </si>
  <si>
    <t>Using Agent-Based Modeling to Calculate an Ease Score: Evacuation with Acceptable Simplicity in Emergencies</t>
  </si>
  <si>
    <t>An agent-based model for cruise ship evacuation considering the presence of smart technologies on board</t>
  </si>
  <si>
    <t xml:space="preserve">	
Modeling Realistic Human Behavior in Disasters. A Rapid Literature Review of Agent-Based Models Reviews</t>
  </si>
  <si>
    <t>Disaster world: Decision-theoretic agents for simulating population responses to hurricanes</t>
  </si>
  <si>
    <t xml:space="preserve">	
Computer Modeling of Evacuation Patterns Comparison and Crowd Dynamics: A Use of NetLogo</t>
  </si>
  <si>
    <t xml:space="preserve">	
An interdisciplinary agent-based evacuation model: integrating the natural environment, built environment, and social system for community preparedness and resilience</t>
  </si>
  <si>
    <t xml:space="preserve">	
A Game-Theoretic Approach to Safe Crowd Evacuation in Emergencies</t>
  </si>
  <si>
    <t>ABM-based emergency evacuation modelling during urban pluvial floods: A “7.20” pluvial flood event study in Zhengzhou, Henan Province</t>
  </si>
  <si>
    <t xml:space="preserve">	
Architecture-oriented agent-based model (AOAM) for optimizing transport evacuation management and emergency medical assistance in the context of the war in Ukraine: challenges and prospects</t>
  </si>
  <si>
    <t>Experiment and path optimization on Large-Space Multi-Area crowd evacuation</t>
  </si>
  <si>
    <t xml:space="preserve">        
Effect of trained evacuation leaders on victims’ safety during an active shooter incident</t>
  </si>
  <si>
    <t xml:space="preserve">	
An agent-based simulation study on the effect of ambulance dispatch policies on patient mortality in hospital systems: a disaster response test case</t>
  </si>
  <si>
    <t xml:space="preserve">	
Modeling of emergency evacuation in high rise buildings considering congestion at stairs based on Markov chains</t>
  </si>
  <si>
    <t xml:space="preserve">        
Emergency Warning Dissemination in a Multiplex Social Network</t>
  </si>
  <si>
    <t xml:space="preserve">	
A Multi-Agent Based Simulation Modeling Method for UAV Swarm Collaborative Combat</t>
  </si>
  <si>
    <t>Multi-agent Modeling of Human Traffic Dynamics for Rapid Response to Public Emergency in Spatial Networks</t>
  </si>
  <si>
    <t>A simulation-based optimization method for emergency evacuation induced by gas pipeline leakage risk</t>
  </si>
  <si>
    <t>Study of Distributed Cooperative Evacuation Guidance Model Using Multiple Mobile Robots</t>
  </si>
  <si>
    <t xml:space="preserve">	
Urban Safety and Resilience: Agent-Based Modelling Simulations for Pre-disaster Planning</t>
  </si>
  <si>
    <t xml:space="preserve">	
Assessing the economic ripple effect of flood disasters in light of the recovery process: Insights from an agent-based model</t>
  </si>
  <si>
    <t xml:space="preserve">        
Developing an Agent-Based Simulation Model to Forecast Flood-Induced Evacuation and Internally Displaced Persons</t>
  </si>
  <si>
    <t xml:space="preserve">	
AN AGENT-BASED MODEL TO ASSESS INTERVENTIONS FOR CONTINUOUS CARE OF CARDIOVASCULAR DISEASES AFTER NATURAL DISASTERS</t>
  </si>
  <si>
    <t xml:space="preserve">	
SUPPLY CHAIN RESILIENCE OPTIMIZATION WITH AGENT-BASED MODELING (SCROAM): A NOVEL HYBRID FRAMEWORK</t>
  </si>
  <si>
    <t xml:space="preserve">        
Which Mode Should i Choose to Evacuate: Analyze and Synthesize Case Studies of Rapid-Onset Disasters</t>
  </si>
  <si>
    <t xml:space="preserve">	
Distributed Safe Coverage Control of Multi-agent Systems with Energy Constraints</t>
  </si>
  <si>
    <t xml:space="preserve">	
Multi-Agent Modeling and Discrete-Event Simulation for Analyzing the Responsiveness of Pre-Hospital Emergency Services in the Event of Mass Casualties Due to Rare Events</t>
  </si>
  <si>
    <t>Agent-Based Modelling and Simulation of Crowd Evacuation: Case Study for Electric Train Cabin</t>
  </si>
  <si>
    <t xml:space="preserve">	
Strategic Routing and Scheduling for Evacuations</t>
  </si>
  <si>
    <t xml:space="preserve">        
Towards Optimal and Scalable Evacuation Planning Using Data-driven Agent Based Models</t>
  </si>
  <si>
    <t xml:space="preserve">	
An Agent-Based Model for Greening the City of Ravenna and Reducing Flooding at a Cultural Heritage Site</t>
  </si>
  <si>
    <t xml:space="preserve">	
Decision support for traffic safety: case of rear-end collision modelling</t>
  </si>
  <si>
    <t xml:space="preserve">        
Tsunami evacuation modelling via micro-simulation model</t>
  </si>
  <si>
    <t>Enhancing DTN Routing Strategies with Deep Reinforcement Learning in Disaster Recovery Networks</t>
  </si>
  <si>
    <t xml:space="preserve">        
Supporting Emergency Department Risk Mitigation with a Modular and Reusable Agent-Based Simulation Infrastructure - Summary</t>
  </si>
  <si>
    <t>Entropy-based layered evacuation strategy and simulation for multi-storey building fire scene</t>
  </si>
  <si>
    <t xml:space="preserve">	
Human Perception of Floor Plan Evacuatability: How Easy is it to Evacuate?</t>
  </si>
  <si>
    <t>A Blockchain-Enabled Framework of UAV Coordination for Post- Disaster Networks</t>
  </si>
  <si>
    <t xml:space="preserve">        
Dynamic guidance strategy and path optimization method for crowd evacuation in large space public buildings based Multi-agent modeling and simulation</t>
  </si>
  <si>
    <t xml:space="preserve">	
Performance-Based Human-in-the-Loop Optimal Bipartite Consensus Control for Multi-Agent Systems via Reinforcement Learning</t>
  </si>
  <si>
    <t>SIMULATION OF EMERGENCY CARE SYSTEMS: A TAXONOMY AND FUTURE DIRECTIONS</t>
  </si>
  <si>
    <t>MATLAB</t>
  </si>
  <si>
    <t xml:space="preserve">	
Modeling of multi-hazard warning dissemination time distributions: An agent-based approach</t>
  </si>
  <si>
    <t>Agent Architecture for Evacuation Pedestrian's Crowded Public Places: Combination of Individual and Collaborative Reasoning</t>
  </si>
  <si>
    <t xml:space="preserve">	
ASSESSING THE IMPACT OF PHYSICIANS' BEHAVIOR VARIABILITY ON PERFORMANCE INDICATORS IN EMERGENCY DEPARTMENTS: AN AGENT-BASED MODEL</t>
  </si>
  <si>
    <t xml:space="preserve">	
Simulation of Flood-Induced Human Migration at the Municipal Scale: A Stochastic Agent-Based Model of Relocation Response to Coastal Flooding</t>
  </si>
  <si>
    <t>Integrating Reinforcement Learning and Multi-Agent Systems for Autonomous Traffic Management in Smart Cities: A Review</t>
  </si>
  <si>
    <t>An Enhanced Simulation Model using Integrated Agent-based Simulation and Social Force Theory for Modelling Human Evacuation in Close Building: Implementation and Development</t>
  </si>
  <si>
    <t>Multi-paradigm modelling and control of microgrid systems for better power stability in the Rockaway</t>
  </si>
  <si>
    <t>Deep reinforcement learning-based panic crowd evacuation simulation</t>
  </si>
  <si>
    <t xml:space="preserve">	
Collaborative Route Planning of UAVs, Workers, and Cars for Crowdsensing in Disaster Response</t>
  </si>
  <si>
    <t xml:space="preserve">	
AN INTEGRATED SIMULATION PLATFORM FOR CARDIAC ARREST RESPONSE SYSTEM</t>
  </si>
  <si>
    <t>Multi-Trajectory Drone Surveillance: Amplifying Monitoring Capabilities in Disaster Management</t>
  </si>
  <si>
    <t>Modelling self-evacuation archetypes to improve wildfire evacuation traffic simulations: A regional case study</t>
  </si>
  <si>
    <t xml:space="preserve">	
DESIGN OPTIMIZATION THROUGH CFD-ABMS INTEGRATION FOR CONTROLLING VIRUS SPREAD</t>
  </si>
  <si>
    <t>A Bi-Layer Joint Training Reinforcement Learning Framework for Post-Disaster Rescue</t>
  </si>
  <si>
    <t>Crowd Intelligent Grouping Collaboration Evacuation via Multi-agent Reinforcement Learning</t>
  </si>
  <si>
    <t xml:space="preserve">	
Research on Collaborative Decision Making Mechanism for Helicopter Rescue Tasks Based on Intelligent Computing</t>
  </si>
  <si>
    <t>Event-driven muti-Agent evacuation based on reinforcement learning</t>
  </si>
  <si>
    <t>Battery-Care Resource Allocation and Task Offloading in Multi-Agent Post-Disaster MEC Environment</t>
  </si>
  <si>
    <t>Qualitative Cusp Catastrophe Multi-Agent Simulation Model to Explore Abrupt Changes in Online Impulsive Buying Behavior</t>
  </si>
  <si>
    <t>Simulating and Analyzing Crowdsourcing Impacts in Flood Management: A Geo-spatial Agent-Based Approach</t>
  </si>
  <si>
    <t xml:space="preserve">	
A Summary of the RGS⊕ System: an RDF Graph Synchronization System for Collaborative Robotics</t>
  </si>
  <si>
    <t>Effects of Lighting and Barricades in Crowd Management</t>
  </si>
  <si>
    <t>Can information sharing among evacuees improve indoor emergency evacuation? An exploration study based on BIM and agent-based simulation</t>
  </si>
  <si>
    <t xml:space="preserve">	
A Robust UAV-UGV Collaborative Framework for Persistent Surveillance in Disaster Management Applications</t>
  </si>
  <si>
    <t>Joint Optimization on Trajectory and Resource for Freshness Sensitive UAV-Assisted MEC System</t>
  </si>
  <si>
    <t>A Zero-Trust Reinforcement Learning Policy for Mitigating Cyberattacks on Emergency Vehicle Preemption Systems</t>
  </si>
  <si>
    <t>An Induction Scheme of Fast Initiative-Evacuation Based on Social Graphs</t>
  </si>
  <si>
    <t xml:space="preserve">	
Exploiting Parametrized Deep Q-Networks into Emergency Caching: A Joint Coding Design and User Allocation</t>
  </si>
  <si>
    <t xml:space="preserve">	
Deployment of Unmanned Aerial Vehicles in Next-Generation Wireless Communication Network Using Multi-Agent Reinforcement Learning</t>
  </si>
  <si>
    <t xml:space="preserve">        
Multiagent Collaboration for Emergency Evacuation Using Reinforcement Learning for Transportation Systems</t>
  </si>
  <si>
    <t>Towards a Specification of Behaviour Models for Crowds</t>
  </si>
  <si>
    <t>An Intelligent Relay Nodes Deployment Method Based on Multi-Agent Deep Reinforcement Learning For Emergency Communications</t>
  </si>
  <si>
    <t>Analysis of Cascading Failures in Power Cyber-Physical Systems Under Typhoon Conditions</t>
  </si>
  <si>
    <t>Emergency Response System Combining the Internal and External Domains (ERSCIED)</t>
  </si>
  <si>
    <t xml:space="preserve">	
A simulation study of resilience strategies for agricultural supply chain under disruption</t>
  </si>
  <si>
    <t xml:space="preserve">	
Analysis of evolutionary game regarding emergency sensemaking behavior | 突发事件协同研判行为的演化博弈分析</t>
  </si>
  <si>
    <t>Loss of Life Estimation using Life Safety Model for Dam Breach Flood Disaster in Malaysia</t>
  </si>
  <si>
    <t xml:space="preserve">	
A Flexible Cooperative MARL Method for Efficient Passage of an Emergency CAV in Mixed Traffic</t>
  </si>
  <si>
    <t>Improving the Sustainability and Safety of the City Transport System Through the Application of Computer Modeling</t>
  </si>
  <si>
    <t xml:space="preserve">	
Post-earthquake functionality assessment of subway stations considering the interdependency among sub-systems</t>
  </si>
  <si>
    <t xml:space="preserve">        
Understanding the influence of multiple information sources on risk perception dynamics and evacuation decisions: An agent-based modeling approach</t>
  </si>
  <si>
    <t>A Novel Cooperative Driving Mechanism Based on Multi-Agent Deep Reinforcement Learning with Priority Parameter Sharing and Safety Rules</t>
  </si>
  <si>
    <t>Adaptive UAV Swarm Management: Minimizing Energy Consumption with Multi Agent DRL</t>
  </si>
  <si>
    <t>DESIGNING A RESILIENT INFRASTRUCTURE LEARNING GAME TO EVALUATE MAINTENANCE DECISIONS</t>
  </si>
  <si>
    <t xml:space="preserve">	
Fully Distributed Hierarchical et Intrusion-and Fault-Tolerant Group Control for MASs with Application to Robotic Manipulators</t>
  </si>
  <si>
    <t>Unlocking the Potential of Vehicle-Grid Integration (VGI) in Japan: Challenges, Opportunities, and Future Directions</t>
  </si>
  <si>
    <t>Age of Incorrect Information Minimization for Timely Status Updates in Satellite-based IoT</t>
  </si>
  <si>
    <t>A Deep Reinforcement Learning Tracking Algorithm Based on Task Decomposition</t>
  </si>
  <si>
    <t>Context-Based Multi-Agent Recommender System, Supported on IoT, for Guiding the Occupants of a Building in Case of a Fire</t>
  </si>
  <si>
    <t xml:space="preserve">	
Intelligent rescheduling optimization method of high-speed railway based on deep reinforcement learning DDDQN</t>
  </si>
  <si>
    <t>Task Assignment Algorithm Based on Improved MADDPG</t>
  </si>
  <si>
    <t>Ubiquitous GIS based outdoor evacuation assistance: An effective response to earthquake disasters</t>
  </si>
  <si>
    <t>Hierarchical Proximal Policy Optimization for Enhanced Real-Time Video Tracking in Multi-UAV Networks</t>
  </si>
  <si>
    <t>Overdose deaths before and during the COVID-19 pandemic in a US county</t>
  </si>
  <si>
    <t>Multi-Agent Enhanced Complex Decision-Making Support Framework: An Urban Emergency Case Study</t>
  </si>
  <si>
    <t xml:space="preserve">        
Efficient simulation of natural hazard evacuation for seacoast cities</t>
  </si>
  <si>
    <t>GNN-based Task Assignment in Combat System</t>
  </si>
  <si>
    <t xml:space="preserve">	
Development of a Dynamic Multi-object Planning Framework for Autonomous Mobile Robots</t>
  </si>
  <si>
    <t>Multi-agent modeling of hazard–household–infrastructure nexus for equitable resilience assessment</t>
  </si>
  <si>
    <t>Generating Task Reallocation Suggestions to Handle Contingencies in Human-Supervised Multi-Robot Missions</t>
  </si>
  <si>
    <t xml:space="preserve">	
Joint Trajectory Planning and Communication Design for Multiple UAVs in Intelligent Collaborative Air-Ground Communication Systems</t>
  </si>
  <si>
    <t>The role of crowd behavior and cooperation strategies during evacuation</t>
  </si>
  <si>
    <t>Joint Blockage Prediction and UAV Deployment in Millimeter-Wave Communication Networks</t>
  </si>
  <si>
    <t xml:space="preserve">	
Comparing Multiagent Dynamic and Urgent Task Sharing Methods when the Cost of Unexecuted Task Is High</t>
  </si>
  <si>
    <t>Evaluating the flooding level impacts on urban metro networks and travel demand: behavioral analyses, agent-based simulation, and large-scale case study</t>
  </si>
  <si>
    <t>Symmetry-Augmented Multi-Agent Reinforcement Learning for Scalable UAV Trajectory Design and User Scheduling</t>
  </si>
  <si>
    <t xml:space="preserve">	
Forecasting and Mitigating Disruptions in Public Bus Transit Services</t>
  </si>
  <si>
    <t>Power Management System with Load Power Regulation for Zonal Secondary DC-Grids Survivability: A Load Priority-Based Approach</t>
  </si>
  <si>
    <t>The effect of collaborative behaviors in emergency evacuation</t>
  </si>
  <si>
    <t xml:space="preserve">	
Detecting synthetic population bias using a spatially-oriented framework and independent validation data</t>
  </si>
  <si>
    <t xml:space="preserve">        
Implication of Mutual Assistance Evacuation Model to Reduce the Volcanic Risk for Vulnerable Society: Insight from Mount Merapi, Indonesia</t>
  </si>
  <si>
    <t>Efficient Replay Memory Architectures in Multi-Agent Reinforcement Learning for Traffic Congestion Control</t>
  </si>
  <si>
    <t>Enhancing UAV Swarm Routing with Multi-Agent Attention Reinforcement Learning</t>
  </si>
  <si>
    <t>A multiagent-based modeling approach for emergency evacuation plan optimization during toxic gas releases within chemical plants</t>
  </si>
  <si>
    <t xml:space="preserve">	
Analysis of Pedestrian Behavior for the Optimization of Evacuation Plans in Tall Buildings: Case Study Santiago, Chile</t>
  </si>
  <si>
    <t xml:space="preserve">	
Fault tree analysis for subway fire evacuation with agent-based modeling</t>
  </si>
  <si>
    <t>Research on demand forecasting and distribution of emergency medical supplies using an agent-based model</t>
  </si>
  <si>
    <t xml:space="preserve">        
Effects of child pick-up behavior on emergency evacuations</t>
  </si>
  <si>
    <t>RGS ⊕ : RDF graph synchronization for collaborative robotics</t>
  </si>
  <si>
    <t>HAP-assisted multi-aerial base station deployment for capacity enhancement via federated deep reinforcement learning</t>
  </si>
  <si>
    <t>Multiagent Federated Reinforcement Learning for Resource Allocation in UAV-Enabled Internet of Medical Things Networks</t>
  </si>
  <si>
    <t xml:space="preserve">        
Research on Fire Emergency Evacuation Simulation Based on Cooperative Deep Reinforcement Learning | 基于协作式深度强化学习的火灾应急疏散仿真研究</t>
  </si>
  <si>
    <t xml:space="preserve">	
PhobosBC: A Blockchain-based Crowdsourced Post-disaster Mapping System and its Agent-based Simulation</t>
  </si>
  <si>
    <t xml:space="preserve">        
A Non-Signalized Junction Model for Agent-Based Simulations of Car–Pedestrian Mode Mass Evacuations</t>
  </si>
  <si>
    <t>Examination of Diffusion Patterns of Tornado Warning Using an Agent-Based Model and Simulation</t>
  </si>
  <si>
    <t xml:space="preserve">        
On Effective Campus Attack Response: Insights from Agent-Based Simulation for Improving Emergency Information Sharing System Design and Response Strategy</t>
  </si>
  <si>
    <t>Exploring the impact of mobility restrictions on the COVID-19 spreading through an agent-based approach</t>
  </si>
  <si>
    <t xml:space="preserve">        
Minimizing the evacuation time of a crowd from a complex building using rescue guides</t>
  </si>
  <si>
    <t>ACP-Based Parallel Railway Traffic Management for High-Speed Trains in Case of Emergencies</t>
  </si>
  <si>
    <t xml:space="preserve">        
Authoritarianism vs. democracy: Simulating responses to disease outbreaks</t>
  </si>
  <si>
    <t>An agent-based model of short-notice tsunami evacuation in Waikiki, Hawaii</t>
  </si>
  <si>
    <t>Dual deep Q-learning network guiding a multiagent path planning approach for virtual fire emergency scenarios</t>
  </si>
  <si>
    <t xml:space="preserve">        
Fast-moving dire wildfire evacuation simulation</t>
  </si>
  <si>
    <t xml:space="preserve">	
Individual heights and phase transition under crowd emergencies: Agent-based modeling from 2 to 3D</t>
  </si>
  <si>
    <t>Agent-based modeling for theme park evacuation</t>
  </si>
  <si>
    <t xml:space="preserve">	
Identification of issues in disaster response to flooding, focusing on the time continuity between residents’ evacuation and rescue activities</t>
  </si>
  <si>
    <t xml:space="preserve">	
Underground mining fire hazards and the optimization of emergency evacuation strategies (EES): The issues, existing methodology and limitations, and way forward</t>
  </si>
  <si>
    <t xml:space="preserve">        
An interdisciplinary agent-based multimodal wildfire evacuation model: Critical decisions and life safety</t>
  </si>
  <si>
    <t>Multi-UAV cooperative search and coverage control in post-disaster assessment: experimental implementation</t>
  </si>
  <si>
    <t>SEEKER: A Web-Based Simulation Tool for Planning Community Evacuations</t>
  </si>
  <si>
    <t>Deep Dyna-Q for Rapid Learning and Improved Formation Achievement in Cooperative Transportation</t>
  </si>
  <si>
    <t xml:space="preserve">        
Large Event Halls Evacuation Using an Agent-Based Modeling Approach</t>
  </si>
  <si>
    <t xml:space="preserve">	
Evaluating human behaviour during a disaster evacuation process: A literature review</t>
  </si>
  <si>
    <t>Environment-sensitive crowd behavior modeling method based on reinforcement learning</t>
  </si>
  <si>
    <t>Data-driven Agent-based Models for Optimal Evacuation of Large Metropolitan Areas for Improved Disaster Planning</t>
  </si>
  <si>
    <t>Coupled Demographic Dynamics of Herds and Households Constrain Livestock Population Growth in Pastoral Systems</t>
  </si>
  <si>
    <t xml:space="preserve">	
Blockchain-Empowered Resource Allocation in Multi-UAV-Enabled 5G-RAN: A Multi-Agent Deep Reinforcement Learning Approach</t>
  </si>
  <si>
    <t xml:space="preserve">	
Workplace Assignment to Workers in Synthetic Populations in Japan</t>
  </si>
  <si>
    <t>Simulating Emergency Evacuations with a Learnable Behavioural Model</t>
  </si>
  <si>
    <t>Integrate Assignment of Multiple Heterogeneous Unmanned Aerial Vehicles Performing Dynamic Disaster Inspection and Validation Task with Dubins Path</t>
  </si>
  <si>
    <t>The scenario assessment of ecological protection and development in the Loess Hilly and Gully area based on land use functions and agent￣based modelling | 基于土地多功能的 黄 土 丘 陵 沟 壑 区 生 态 保 护 与 发 展 情景评估及多主体模拟</t>
  </si>
  <si>
    <t xml:space="preserve">	
Modeling belief-desire-intention reasoning agents for situation-aware formalisms</t>
  </si>
  <si>
    <t>Simulation modeling of operation and coordination of agencies involved in post-disaster response and recovery</t>
  </si>
  <si>
    <t>A new integrated agent-based framework for designing building emergency evacuation: A BIM approach</t>
  </si>
  <si>
    <t xml:space="preserve">        
Risk Assessment of the Impact of Toxic Gas on the Moving Humans: A Multi-agent Based Simulation Approach</t>
  </si>
  <si>
    <t xml:space="preserve">	
The Impact of Patient Infection Rate on Emergency Department Patient Flow: Hybrid Simulation Study in a Norwegian Case</t>
  </si>
  <si>
    <t>How Could Increasing Temperature Scenarios Alter the Risk of Terrorist Acts in Different Historical Squares? A Simulation-Based Approach in Typological Italian Squares</t>
  </si>
  <si>
    <t xml:space="preserve">        
DISASTER EVACUATION SIMULATION CONSIDERING TRANSMISSION OF FALSE AND FACT-CHECKING INFORMATION BY SOCIAL NETWORKING SERVICE</t>
  </si>
  <si>
    <t>Simulation of supply chain disruptions considering establishments and power outages</t>
  </si>
  <si>
    <t>Household-Targeted Hurricane Warnings for Effective Evacuation: Case Study of Hurricane Irma in North Miami Beach</t>
  </si>
  <si>
    <t xml:space="preserve">	
Distributed Persistent Coverage Control over Importance-based Environments with Quadrotors</t>
  </si>
  <si>
    <t xml:space="preserve">        
Large-Scale Evacuation Shelter Selection Method Through Iterations of Pedestrian Simulations With Dynamic Congestion Reproduction</t>
  </si>
  <si>
    <t>Designing Robots to Best World Cup Winners has Inspired Generations of Roboticists</t>
  </si>
  <si>
    <t>When RAN Intelligent Controller in O-RAN Meets Multi-UAV Enable Wireless Network</t>
  </si>
  <si>
    <t xml:space="preserve">        
A Multi-agent Based Evacuation Planning for Disaster Management: A Narrative Review</t>
  </si>
  <si>
    <t xml:space="preserve">	
Agent-based Ecosystem Simulation Research under Forest Fire | 基于 Agent-based 的森林火灾下生态系统仿真研究</t>
  </si>
  <si>
    <t>Towards Informed Tsunami Evacuation Management – A Direct Comparison between Agent-Based and GIS-Based Evacuation Models</t>
  </si>
  <si>
    <t xml:space="preserve">	
Development of human-in-the-loop experiment system to extract evacuation behavioral features: A case of evacuees in nuclear emergencies</t>
  </si>
  <si>
    <t>Platform for Radiological Emergency Agent-Based Integrated Simulation Model</t>
  </si>
  <si>
    <t xml:space="preserve">	
Emergency evacuation in a supermarket during a terrorist attack: towards a possible modelling of the influence of affordances on the evacuation behavior of agents in a complex virtual environment</t>
  </si>
  <si>
    <t xml:space="preserve">        
A study on finding an optimal response strategy considering infrastructures in an agent-based radiological emergency model using a deep Q-network</t>
  </si>
  <si>
    <t xml:space="preserve">        
Fire evacuation supported by centralized and decentralized visual guidance systems</t>
  </si>
  <si>
    <t>Deep Reinforcement Learning for Multi-agent Simulation using a partial floor field cutout</t>
  </si>
  <si>
    <t xml:space="preserve">        
A Review of Agent-Based Modelling Simulation Approaches to Integrated Flood Management</t>
  </si>
  <si>
    <t xml:space="preserve">	
VR-based fire evacuation in underground rail station considering staff’s behaviors: model, system development and experiment</t>
  </si>
  <si>
    <t xml:space="preserve">        
Simulating Urban Population Activities under Extreme Events with Data-Driven Agent- Based Modeling</t>
  </si>
  <si>
    <t xml:space="preserve">	
Distributed fault diagnosis observer for multi-agent system against actuator and sensor faults</t>
  </si>
  <si>
    <t xml:space="preserve">	
Evaluation and Improvement of System-of-Systems Resilience in a Simulation of Wildfire Emergency Response</t>
  </si>
  <si>
    <t xml:space="preserve">        
Effect of Peer Influence and Looting Concerns on Evacuation Behavior During Natural Disasters</t>
  </si>
  <si>
    <t>Simulation of an intelligent traffic management model</t>
  </si>
  <si>
    <t xml:space="preserve">        
Social Force Model Calibration for Preschool Children Evacuations Based on Multiscenario Experiments</t>
  </si>
  <si>
    <t xml:space="preserve">	
Urban flood emergency evacuation simulation and its efficiency-fairness tradeoff analysis | 城市洪涝灾害应急疏散模拟及其效率- 公平权衡分析</t>
  </si>
  <si>
    <t xml:space="preserve">	
Community resilience assessment via agent-based modeling approach</t>
  </si>
  <si>
    <t>Cooperative Evacuation Guidance Method for Large-Scale Event</t>
  </si>
  <si>
    <t xml:space="preserve">	
Parallel multi-speed Pursuit-Evasion Game algorithms</t>
  </si>
  <si>
    <t xml:space="preserve">	
Learning to Routing in UAV Swarm Network: A Multi-Agent Reinforcement Learning Approach</t>
  </si>
  <si>
    <t xml:space="preserve">        
Coupling agent-based simulation with optimization to enhance population sheltering</t>
  </si>
  <si>
    <t xml:space="preserve">	
Evacuation Simulation Implemented by ABM-BIM of Unity in Students’ Dormitory Based on Delay Time</t>
  </si>
  <si>
    <t xml:space="preserve">	
Reinforcement Learning Based Control Scheme for Emergency Vehicle Preemption with Edge Computing</t>
  </si>
  <si>
    <t xml:space="preserve">	
Environmental impact assessment of shipping on Arctic marine ecosystems based on Multi-Agent System simulation | 基于 MAS 模拟的北极航运对生态环境的影响评估</t>
  </si>
  <si>
    <t>Architecture-Oriented Agent-Based Simulations and Machine Learning Solution: The Case of Tsunami Emergency Analysis for Local Decision Makers</t>
  </si>
  <si>
    <t>Principles for Monte Carlo agent-based evacuation simulations including occupants who need assistance. From RSET to RiSET</t>
  </si>
  <si>
    <t>A Scientometric Research on Applications and Advances of Fire Safety Evacuation in Buildings</t>
  </si>
  <si>
    <t xml:space="preserve">	
Emergency evacuation time model of nuclear power plant pedestrians</t>
  </si>
  <si>
    <t>Predictive Agent-Based Crowd Model Design Using Decentralized Control Systems</t>
  </si>
  <si>
    <t xml:space="preserve">        
Multi-agent Crowd Simulation in an Active Shooter Environment</t>
  </si>
  <si>
    <t>Joint Optimization on Trajectory, Computation and Communication Resources in Information Freshness Sensitive MEC System</t>
  </si>
  <si>
    <t>Simulating pandemic emergency scenarios considering mobility patterns through an agent-based model</t>
  </si>
  <si>
    <t>Computation of Minimum Number of Automated Guided Vehicles (AGVs) with Battery Charging</t>
  </si>
  <si>
    <t xml:space="preserve">        
Exploring Spatial Patterns of Emergency Call Behavior in a Metropolitan City of China</t>
  </si>
  <si>
    <t>ABEM-based Simulation of Building Egression Safety for the Elderly under Different Circumstances: Enlightenments of Healthy Residential Buildings for the Elderly</t>
  </si>
  <si>
    <t xml:space="preserve">        
Assessment of Top-Down Design of Tsunami Evacuation Strategies Based on Drill and Modelled Data</t>
  </si>
  <si>
    <t xml:space="preserve">        
Integration of building information modeling and agent-based modeling for evacuation simulation</t>
  </si>
  <si>
    <t>Analysis of Pedestrian Behaviors in Subway Station Using Agent-Based Model: Case of Gangnam Station, Seoul, Korea</t>
  </si>
  <si>
    <t xml:space="preserve">	
Effect of trained evacuation leaders on victims’ safety during an active shooter incident</t>
  </si>
  <si>
    <t xml:space="preserve">	
An agent-based model for evaluating reforms of the National Flood Insurance Program: A benchmarked model applied to Jamaica Bay, NYC</t>
  </si>
  <si>
    <t xml:space="preserve">	
Holistic fuzzy logic methodology to assess positive energy district (PathPED)</t>
  </si>
  <si>
    <t xml:space="preserve">	
Emergency Warning Dissemination in a Multiplex Social Network</t>
  </si>
  <si>
    <t>A Methodology to Develop Agent-Based Models for Policy Support Via Qualitative Inquiry</t>
  </si>
  <si>
    <t xml:space="preserve">	
Developing an Agent-Based Simulation Model to Forecast Flood-Induced Evacuation and Internally Displaced Persons</t>
  </si>
  <si>
    <t>Study on Evacuation Time Estimation using Agent-Based Modeling</t>
  </si>
  <si>
    <t xml:space="preserve">	
Which Mode Should i Choose to Evacuate: Analyze and Synthesize Case Studies of Rapid-Onset Disasters</t>
  </si>
  <si>
    <t>STAIRCASE THROUGHPUT STUDY WITH THE USE OF AGENT-BASED MODELING</t>
  </si>
  <si>
    <t xml:space="preserve">	
Towards Optimal and Scalable Evacuation Planning Using Data-driven Agent Based Models</t>
  </si>
  <si>
    <t>Multi-agent modeling of crowd dynamics under mass shooting cases</t>
  </si>
  <si>
    <t>Mobile agents-based modelling for the vehicular network congestion problem resolution</t>
  </si>
  <si>
    <t xml:space="preserve">	
Tsunami evacuation modelling via micro-simulation model</t>
  </si>
  <si>
    <t xml:space="preserve">	
Shapefile-based multi-agent geosimulation and visualization of building evacuation scenario</t>
  </si>
  <si>
    <t>A spatial agent-based model for preemptive evacuation decisions during typhoon</t>
  </si>
  <si>
    <t xml:space="preserve">	
A Preliminary Study of Individual Based Crowd Simulation Based on Bayesian Nash Equilibrium</t>
  </si>
  <si>
    <t xml:space="preserve">	
A compendious review of agent-based disaster management</t>
  </si>
  <si>
    <t>Simulation of tsunami evacuation behavior considering inland direction</t>
  </si>
  <si>
    <t xml:space="preserve">	
Dynamic guidance strategy and path optimization method for crowd evacuation in large space public buildings based Multi-agent modeling and simulation</t>
  </si>
  <si>
    <t>Flood-pedestrian simulator for modelling human response dynamics during flood-induced evacuation: Hillsborough stadium case study</t>
  </si>
  <si>
    <t xml:space="preserve">        
Optimized Evacuation Plan and Decision Support System Development with Agent-Based Modelling and GIS Analysis for Tsunami Events in Pandeglang, Banten, Indonesia</t>
  </si>
  <si>
    <t>A Message Reduction Method Based on Geographical Information in Initiative-Evacuation Induction Using Social Graphs</t>
  </si>
  <si>
    <t xml:space="preserve">        
Cybernetics approach using agent-based modeling in the process of evacuating educational institutions in case of disasters</t>
  </si>
  <si>
    <t xml:space="preserve">	
Intelligent Facility Layout Planning for Emergency Department: A Multi-Agent System and Particle Swarm Optimization Approach</t>
  </si>
  <si>
    <t xml:space="preserve">        
Study on influence of prior recognition of flooding state on evacuation behavior</t>
  </si>
  <si>
    <t>Developing A Large-Scale Agent-Based Model Using the Spiral Software Development Process</t>
  </si>
  <si>
    <t xml:space="preserve">        
Research on path planning algorithm for crowd evacuation</t>
  </si>
  <si>
    <t xml:space="preserve">        
Development of a radiological emergency evacuation model using agent-based modeling</t>
  </si>
  <si>
    <t>A SYSTEMATIC ANALYSIS OF AGENT-BASED MODELING AND POWER SYSTEM RESILIENCE</t>
  </si>
  <si>
    <t>Sustainable humanitarian operations: Multi-method simulation for large-scale evacuation</t>
  </si>
  <si>
    <t xml:space="preserve">        
POINT CLOUD BASED 3D MODELS for AGENT BASED SIMULATIONS in SOCIAL DISTANCING and EVACUATION</t>
  </si>
  <si>
    <t>Energy-Aware Coverage Control of Multi-Agent Systems with Control Barrier Function</t>
  </si>
  <si>
    <t xml:space="preserve">        
Improving human behaviour in macroscale city evacuation agent-based simulation</t>
  </si>
  <si>
    <t>People flow management in a healthcare facility through crowd simulation and agent-based modeling methods</t>
  </si>
  <si>
    <t>Impact of evacuation design parameter on users' evacuation time using a multi-agent simulation</t>
  </si>
  <si>
    <t>Improving the Reliability of Electric Power Infrastructure Using Distributed Solar Generation: An Agent-Based Modeling Approach</t>
  </si>
  <si>
    <t xml:space="preserve">        
Application of bug navigation algorithms for large-scale agent-based evacuation modeling to support decision making</t>
  </si>
  <si>
    <t>Supporting Emergency Department Risk Mitigation with a Modular and Reusable Agent-Based Simulation Infrastructure</t>
  </si>
  <si>
    <t>3D Mapping Using Multi-agent Systems</t>
  </si>
  <si>
    <t>Efficiency-fairness trade-offs in evacuation management of urban floods: The effects of the shelter capacity and zone prioritization</t>
  </si>
  <si>
    <t>COBAI: A Generic Agent-Based Model of Human Behaviors Centered on Contexts and Interactions</t>
  </si>
  <si>
    <t>Connected communities improve hazard response: An agent-based model of social media behaviors during hurricanes</t>
  </si>
  <si>
    <t>Adaptive Modulation and Coding Based on Multi-Agent Reinforcement Learning for Power Emergency Communications</t>
  </si>
  <si>
    <t>Examining evacuee response to emergency communications with agent-based simulations</t>
  </si>
  <si>
    <t>Design of Task Assignments based on Ordering and Time Window Constraints for RoboCupRescue Agents</t>
  </si>
  <si>
    <t xml:space="preserve">        
The Simulation Algorithms Based on RL and SFM in Emergency Evacuation</t>
  </si>
  <si>
    <t>Multi-Agent Swarm Robotics for Accurate Position Detection in Disaster Scenarios</t>
  </si>
  <si>
    <t>Simulation Model of Emergency Evacuation in Case of Fire in a Nightclub</t>
  </si>
  <si>
    <t>Are current tsunami evacuation approaches safe enough?</t>
  </si>
  <si>
    <t>Emergency evacuation simulation of commercial aircraft: Influence of body- and behaviour parameters</t>
  </si>
  <si>
    <t xml:space="preserve">	
Communication-Facilitated Coordination in Agent Team Rescue Mission</t>
  </si>
  <si>
    <t xml:space="preserve">        
Agent-Based Simulation for Pedestrian Evacuation Behaviour Using the Affordance Concept</t>
  </si>
  <si>
    <t xml:space="preserve">	
A Template for Transfer of NetLogo Models to High-Performance Computing Environments for Enhanced Real-World Decision-Support</t>
  </si>
  <si>
    <t>IdealCity: A hybrid approach to seismic evacuation modeling</t>
  </si>
  <si>
    <t>Requirements for a Digital Twin for an Emergency Department</t>
  </si>
  <si>
    <t xml:space="preserve">	
Development of the Simulation Model of Complex Evaluation of the Quality of the Emergency Medical Services</t>
  </si>
  <si>
    <t xml:space="preserve">        
Simulation Model of Stampede Accident Based on Multi-Agent and Game Theory</t>
  </si>
  <si>
    <t xml:space="preserve">	
Event-triggered containment control for multi-agent systems with switching topology in finite-time</t>
  </si>
  <si>
    <t xml:space="preserve">	
Augmented Reality Framework and Application for Aviation Emergency Rescue Based on Multi-Agent and Service</t>
  </si>
  <si>
    <t>Self-organized crowd dynamics: Research on earthquake emergency response patterns of drill-trained individuals based on gis and multi-agent systems methodology</t>
  </si>
  <si>
    <t xml:space="preserve">	
The Effect of Platform Data Quality on Tax Compliance in Digital Economy: A Multiagent Based Simulation</t>
  </si>
  <si>
    <t>Intelligent Spectrum Allocation Based on Deep Reinforcement Learning for Power Emergency Communications</t>
  </si>
  <si>
    <t xml:space="preserve">	
Intelligent Communication Resource Allocation for UAV Emergency Communications Using Multi-agent Soft Actor-Critic Algorithm</t>
  </si>
  <si>
    <t xml:space="preserve">        
Development of calibrated tsunami evacuation models through real-world collected data: The case study of Coquimbo-La Serena, Chile</t>
  </si>
  <si>
    <t xml:space="preserve">	
EMVLight: A multi-agent reinforcement learning framework for an emergency vehicle decentralized routing and traffic signal control system</t>
  </si>
  <si>
    <t>EVPRT: A MARL-Based Approach for Efficient Passage of Emergency Vehicles in Urban Vehicular Networks</t>
  </si>
  <si>
    <t>Developing an Adaptive Evacuation Simulation Framework based on Agent Performance Dynamics</t>
  </si>
  <si>
    <t>A SYSTEMS APPROACH TO ANALYZING THE RESILIENCE OF CRITICAL INFRASTRUCTURE SYSTEMS' RESTORATION PROCESS</t>
  </si>
  <si>
    <t>An Agent-Based Co-modeling Approach to Simulate the Evacuation of a Population in the Context of a Realistic Flooding Event: A Case Study in Hanoi (Vietnam)</t>
  </si>
  <si>
    <t xml:space="preserve">	
Trajectory and Offloading Policy Optimization in Age-of-Information-Aware UAV-Assisted MEC Systems</t>
  </si>
  <si>
    <t>Dynamic-data-driven agent-based modeling for the prediction of evacuation behavior during hurricanes</t>
  </si>
  <si>
    <t>Curriculum-based Reinforcement Learning for an Effective Multi-Agent Path Planning Algorithm in Warehouse Scenarios</t>
  </si>
  <si>
    <t>Multi-Agent Distributed Cooperative Routing for Maritime Emergency Communication</t>
  </si>
  <si>
    <t>Analysis of evacuation time for vulnerable individuals during inundation of lowland areas</t>
  </si>
  <si>
    <t>GA-MADDPG: A Demand-Aware UAV Network Adaptation Method for Joint Communication and Positioning in Emergency Scenarios</t>
  </si>
  <si>
    <t>Multi-UAV Searching Trajectory Optimization Algorithm based on Deep Reinforcement Learning</t>
  </si>
  <si>
    <t xml:space="preserve">        
Evacuation by leader-follower model with bounded confidence and predictive mechanisms</t>
  </si>
  <si>
    <t>On UAV Serving Nodes Trajectory Planning for Fast Localization in Forest Environment: A Multi-Agent DRL Approach</t>
  </si>
  <si>
    <t xml:space="preserve">	
Manoeuvrability Assessment for Urban Air Mobility Using the Improved Inverse Simulation</t>
  </si>
  <si>
    <t xml:space="preserve">        
Opinion dynamics and collective risk perception: An agent-based model of institutional and media communication about disasters</t>
  </si>
  <si>
    <t>Machine Learning Based Ambient Analysis of Railway Steel Bridges for Damage Detection</t>
  </si>
  <si>
    <t xml:space="preserve">	
Multi-Agent Active Search using Detection and Location Uncertainty</t>
  </si>
  <si>
    <t xml:space="preserve">	
Multi-Agent-Based Emergency Supplies Dispatch</t>
  </si>
  <si>
    <t xml:space="preserve">	
Dynamic Spectrum Sharing Based on Federated Learning and Multi-Agent Actor-Critic Reinforcement Learning</t>
  </si>
  <si>
    <t>A Credibility Assessment Plan for an In Silico Model that Predicts the Dose–Response Relationship of New Tuberculosis Treatments</t>
  </si>
  <si>
    <t>Energy-Efficient Multi-UAVs Cooperative Trajectory Optimization for Communication Coverage: An MADRL Approach</t>
  </si>
  <si>
    <t>Influence of evacuation policy on clearance time under large-scale chemical accident: An agent-based modeling</t>
  </si>
  <si>
    <t xml:space="preserve">	
Safe Distance Model and Improved Consensus Control Algorithm for Virtual Coupling of High-speed Train</t>
  </si>
  <si>
    <t>Cooperative and Dynamic UAV-Based Mobile Sink Deployment using Deep Reinforcement Learning</t>
  </si>
  <si>
    <t xml:space="preserve">        
Integrating social networks into large-scale urban simulations for disaster responses</t>
  </si>
  <si>
    <t>Multi-Sensor Cross-Prompting Algorithm Based on Lightning Search</t>
  </si>
  <si>
    <t xml:space="preserve">	
GUTS: Generalized Uncertainty-Aware Thompson Sampling for Multi-Agent Active Search</t>
  </si>
  <si>
    <t xml:space="preserve">        
Unravelling the influence of human behaviour on reducing casualties during flood evacuation</t>
  </si>
  <si>
    <t>MAPPO-based Energy Trading in Intelligent Community with Double Auction</t>
  </si>
  <si>
    <t>Energy-aware UAV Path Planning with Adaptive Speed</t>
  </si>
  <si>
    <t>Research on Efficient Evacuation during Earthquake Considering Human Relationships in Society</t>
  </si>
  <si>
    <t xml:space="preserve">	
Driving Leveling Control Method with Multi-Actuator Cooperation for Special Vehicles | 多作动器协同的特种车辆行车调平控制方法</t>
  </si>
  <si>
    <t xml:space="preserve">        
QMIX-Based Multi-Agent Reinforcement Learning for Electric Vehicle-Facilitated Peak Shaving</t>
  </si>
  <si>
    <t>Highly Reliable Multi-Microgrid Connect Method with Fast Transfer of Supply</t>
  </si>
  <si>
    <t xml:space="preserve">	
A multi-agent deep reinforcement learning method for co2 flooding rates optimization</t>
  </si>
  <si>
    <t xml:space="preserve">        
Studying the Impact of Public Transport on Disaster Evacuation</t>
  </si>
  <si>
    <t>Using a real-world network to model the trade-off between stay-at-home restriction, vaccination, social distancing and working hours on COVID-19 dynamics</t>
  </si>
  <si>
    <t xml:space="preserve">        
Agent-based modelling of pedestrian responses during flood emergency: Mobility behavioural rules and implications for flood risk analysis</t>
  </si>
  <si>
    <t>A method to create a synthetic population with social networks for geographically-explicit agent-based models</t>
  </si>
  <si>
    <t xml:space="preserve">        
Tsunami evacuation analysis in the urban built environment: a multi-scale perspective through two modeling approaches in Viña del Mar, Chile</t>
  </si>
  <si>
    <t xml:space="preserve">	
Multiagent Collaboration for Emergency Evacuation Using Reinforcement Learning for Transportation Systems</t>
  </si>
  <si>
    <t>Modeling post-shock emergency transfers with the participation of connected-and-autonomous vehicles</t>
  </si>
  <si>
    <t xml:space="preserve">        
Improving emergency evacuation planning with mobile phone location data</t>
  </si>
  <si>
    <t>Blockchain-Enabled Task Offloading With Energy Harvesting in Multi-UAV-Assisted IoT Networks: A Multi-Agent DRL Approach</t>
  </si>
  <si>
    <t>A Multi-Agent Emotional Contagion Model in Crowd Emergency Evacuation | 人群应急疏散中一种多智能体情绪感染仿真模型</t>
  </si>
  <si>
    <t xml:space="preserve">	
I See You: Examining the Role of Spatial Information in Human-Agent Teams</t>
  </si>
  <si>
    <t xml:space="preserve">	
Understanding the influence of multiple information sources on risk perception dynamics and evacuation decisions: An agent-based modeling approach</t>
  </si>
  <si>
    <t>Simulating post-disaster temporary housing needs for displaced households and out-of-town contractors</t>
  </si>
  <si>
    <t xml:space="preserve">	
Participatory agent-based modelling in healthcare a domain-specific modelling language approach</t>
  </si>
  <si>
    <t>An Agent-Based Simulation Framework for Firefighters Training</t>
  </si>
  <si>
    <t xml:space="preserve">        
MAS-Based Evacuation Simulation of an urban community during an urban rainstorm disaster in China</t>
  </si>
  <si>
    <t xml:space="preserve">	
Efficient simulation of natural hazard evacuation for seacoast cities</t>
  </si>
  <si>
    <t xml:space="preserve">	
3D INDOOR-PEDESTRIAN INTERACTION IN EMERGENCIES: A REVIEW OF ACTUAL EVACUATIONS AND SIMULATION MODELS</t>
  </si>
  <si>
    <t>ABM and gis integration for investigating the influential factors affecting wildfire evacuation performance</t>
  </si>
  <si>
    <t xml:space="preserve">	
Replicating capacity and congestion in microscale agent-based simulations</t>
  </si>
  <si>
    <t xml:space="preserve">	
Collective Conditioned Reflex: A Bio-Inspired Fast Emergency Reaction Mechanism for Designing Safe Multi-Robot Systems</t>
  </si>
  <si>
    <t>Design of Space Efficient Electric Vehicle Charging Infrastructure Integration Impact on Power Grid Network</t>
  </si>
  <si>
    <t xml:space="preserve">        
Safety resilience promotion strategies for mountainous neighborhoods in southwestern China based on crowd evacuation behavior | 基于人群疏散行为的西南山地城镇住区安全韧性提升对策</t>
  </si>
  <si>
    <t>Robust Formation Control for Nonlinear Heterogeneous Multiagent Systems Based on Adaptive Event-Triggered Strategy</t>
  </si>
  <si>
    <t xml:space="preserve">        
Proposal of Evacuation Support System and Evaluation by Multi-agent Simulation in a Regional Disaster</t>
  </si>
  <si>
    <t xml:space="preserve">	
ACOLBR: ACO Based Load Balancing Routing in MANET</t>
  </si>
  <si>
    <t>Modeling Pedestrian Behavior Under Panic During a Fire Emergency</t>
  </si>
  <si>
    <t xml:space="preserve">	
Eco-Friendly Disaster Evacuation Framework for 6G Connected and Autonomous Vehicular Networks</t>
  </si>
  <si>
    <t>A computational model of hurricane evacuation decision</t>
  </si>
  <si>
    <t>Large-scale post-disaster user distributed coverage optimization based on multi-agent reinforcement learning | 基于多智能体强化学习的大规模灾后用户分布式覆盖优化</t>
  </si>
  <si>
    <t>DRL-Based Low-Latency Content Delivery for 6G Massive Vehicular IoT</t>
  </si>
  <si>
    <t xml:space="preserve">        
Empirical study on modeling of people behavior in emergency</t>
  </si>
  <si>
    <t xml:space="preserve">	
Situation aware intelligent reasoning during disaster situation in smart cities</t>
  </si>
  <si>
    <t>Impact Estimation of Unplanned Urban Rail Disruptions on Public Transport Passengers: A Multi-Agent Based Simulation Approach</t>
  </si>
  <si>
    <t>IEE</t>
  </si>
  <si>
    <t>Collaborative GenAI Agents for Emergency Response: A Decentralized, Explainable Multi-Agent Framework</t>
  </si>
  <si>
    <t>An Agent-Based Model for Contamination Response in Water Distribution Systems during the COVID-19 Pandemic</t>
  </si>
  <si>
    <t xml:space="preserve">	
Distributed Federated Deep Reinforcement Learning Based Trajectory Optimization for Air-Ground Cooperative Emergency Networks</t>
  </si>
  <si>
    <t>Characterizing and Predicting Wildfire Evacuation Behavior: A Dual-Stage ML Approach</t>
  </si>
  <si>
    <t xml:space="preserve">	
Implication of Mutual Assistance Evacuation Model to Reduce the Volcanic Risk for Vulnerable Society: Insight from Mount Merapi, Indonesia</t>
  </si>
  <si>
    <t>Optimizing Exit Selection in High-Density, Asymmetrical Multi-Exit Layouts: A Probabilistic Model with Dynamic Counting Areas</t>
  </si>
  <si>
    <t xml:space="preserve">	
Effects of child pick-up behavior on emergency evacuations</t>
  </si>
  <si>
    <t>A Multi-Agent Approach for Self-Healing and RES-Penetration in Smart Distribution Networks</t>
  </si>
  <si>
    <t>Operationalizing Robotic and Autonomous Systems for Disaster Response and Emergency Logistics</t>
  </si>
  <si>
    <t xml:space="preserve">	
Research on Fire Emergency Evacuation Simulation Based on Cooperative Deep Reinforcement Learning | 基于协作式深度强化学习的火灾应急疏散仿真研究</t>
  </si>
  <si>
    <t xml:space="preserve">	
A Non-Signalized Junction Model for Agent-Based Simulations of Car–Pedestrian Mode Mass Evacuations</t>
  </si>
  <si>
    <t>Fire Trapped Personnel Evacuation Optimization Using Coupled PDE-ABM Framework</t>
  </si>
  <si>
    <t xml:space="preserve">	
On Effective Campus Attack Response: Insights from Agent-Based Simulation for Improving Emergency Information Sharing System Design and Response Strategy</t>
  </si>
  <si>
    <t>Metro Station Evacuation Simulation: A Case Study Using Three Agent-Based Exit Models</t>
  </si>
  <si>
    <t xml:space="preserve">	
Minimizing the evacuation time of a crowd from a complex building using rescue guides</t>
  </si>
  <si>
    <t xml:space="preserve">	
Authoritarianism vs. democracy: Simulating responses to disease outbreaks</t>
  </si>
  <si>
    <t>System of Integrated Simulation of Spread of Hazardous Factors of Fire and Evacuation of People from Indoors</t>
  </si>
  <si>
    <t>Coordinated Autonomous Drones for Human-Centered Fire Evacuation in Partially Observable Urban Environments</t>
  </si>
  <si>
    <t xml:space="preserve">	
A multi-cell Cellular Automata model of traffic flow with emergency vehicles: Effect of a corridor of life and drivers’ behaviour</t>
  </si>
  <si>
    <t xml:space="preserve">	
Modeling Patient Flow in an Emergency Department under COVID-19 Pandemic Conditions: A Hybrid Modeling Approach</t>
  </si>
  <si>
    <t>Evacuation of the population from the building taking into account the capacity of staircrossings</t>
  </si>
  <si>
    <t xml:space="preserve">	
An agent-based financing model for post-earthquake housing recovery: Quantifying recovery inequalities across income groups</t>
  </si>
  <si>
    <t xml:space="preserve">	
Agent-Based Simulation of Heterogeneous Crowd Flows in Critical Infrastructures During Emergencies</t>
  </si>
  <si>
    <t xml:space="preserve">	
Staring at the Abyss: a neurocognitive grounded agent-based model of collective-risk social dilemma under the threat of environmental disaster</t>
  </si>
  <si>
    <t xml:space="preserve">
Modeling Human Emergency Evacuation in Sri Lankan Hospitals: An Agent-Based Approach</t>
  </si>
  <si>
    <t xml:space="preserve">	
Determining response time factors of emergency medical services during the COVID-19 pandemic</t>
  </si>
  <si>
    <t>An agent-based modeling approach for community resilience assessment accounting for system interdependencies: Application on education system</t>
  </si>
  <si>
    <t>Modeling and Simulation of Human Behaviors During Vertical Emergency Evacuation via Intelligent Fuzzy Agents</t>
  </si>
  <si>
    <t xml:space="preserve">	
Multi-Agent Coverage Path Planning via Proximity Interaction and Cooperation</t>
  </si>
  <si>
    <t xml:space="preserve">	
Fast-moving dire wildfire evacuation simulation</t>
  </si>
  <si>
    <t>Phase Transitions in Pedestrian Evacuation: A Dynamic Modeling With Small-World Networks</t>
  </si>
  <si>
    <t xml:space="preserve">
Agent Architecture for Evacuation Pedestrian’s Crowded Public Places: Combination of Individual and Collaborative Reasoning</t>
  </si>
  <si>
    <t>Moving Target Surrounding Control of Linear Multiagent Systems with Input Saturation</t>
  </si>
  <si>
    <t>Efficient Resource Allocation for Multi-Beam Satellite-Terrestrial Vehicular Networks: A Multi-Agent Actor-Critic Method with Attention Mechanism</t>
  </si>
  <si>
    <t>Fire Emergency Evacuation from a School Building Using an Evolutionary Virtual Reality Platform</t>
  </si>
  <si>
    <t xml:space="preserve">	
An interdisciplinary agent-based multimodal wildfire evacuation model: Critical decisions and life safety</t>
  </si>
  <si>
    <t>A Hierarchical Coordination Framework for Joint Perception-Action Tasks in Composite Robot Teams</t>
  </si>
  <si>
    <t>Concrete formwork reuse in a supply chain with dynamic changes using ABMS and discrete events</t>
  </si>
  <si>
    <t>Integration of Machine Learning Methods into Agent-based Simulations for Predicting Evacuation Time in Disaster Scenarios</t>
  </si>
  <si>
    <t xml:space="preserve">	
An Agent-based Model for Emergency Evacuation from a Multi-floor Building</t>
  </si>
  <si>
    <t xml:space="preserve">	
Developing an Adaptive Building Evacuation Simulation and Decision Support Framework using Cognitive Agent-Based Modelling</t>
  </si>
  <si>
    <t>Entropy-Based Crowd Evacuation Modeling With Seeking Behavior of Social Groups</t>
  </si>
  <si>
    <t>Transport Management for Evacuation of Victims</t>
  </si>
  <si>
    <t xml:space="preserve">	
Evacuation Access Simulation during Earthquake Disaster in Vertical Public Housing, Rancacili Bandung as a Case Study</t>
  </si>
  <si>
    <t xml:space="preserve">        
Analysis of the Effect of the Timing of Starting Evacuation Guidance in an Underground Shopping Mall on Crowd Evacuation During a Tsunami Disaster -Using multi-agent simulation-</t>
  </si>
  <si>
    <t>Multi-Agents System for Early Disaster Detection, Evacuation and Rescuing</t>
  </si>
  <si>
    <t xml:space="preserve">	
Risk Assessment of the Impact of Toxic Gas on the Moving Humans: A Multi-agent Based Simulation Approach</t>
  </si>
  <si>
    <t>An Emergency Evacuation Behavior Simulation Method Combines Personality Traits and Emotion Contagion</t>
  </si>
  <si>
    <t xml:space="preserve">	
DISASTER EVACUATION SIMULATION CONSIDERING TRANSMISSION OF FALSE AND FACT-CHECKING INFORMATION BY SOCIAL NETWORKING SERVICE</t>
  </si>
  <si>
    <t>Pedestrian Choice Modeling and Simulation of Staged Evacuation Strategies in Daya Bay Nuclear Power Plant</t>
  </si>
  <si>
    <t xml:space="preserve">	
A Multi-agent Based Evacuation Planning for Disaster Management: A Narrative Review</t>
  </si>
  <si>
    <t xml:space="preserve">	
A study on finding an optimal response strategy considering infrastructures in an agent-based radiological emergency model using a deep Q-network</t>
  </si>
  <si>
    <t xml:space="preserve">	
Fire evacuation supported by centralized and decentralized visual guidance systems</t>
  </si>
  <si>
    <t>Conference PaperDeep Reinforcement Learning for Multi-agent Simulation using a partial floor field cutout</t>
  </si>
  <si>
    <t xml:space="preserve">	
A Review of Agent-Based Modelling Simulation Approaches to Integrated Flood Management</t>
  </si>
  <si>
    <t xml:space="preserve">	
Simulating Urban Population Activities under Extreme Events with Data-Driven Agent- Based Modeling</t>
  </si>
  <si>
    <t xml:space="preserve">	
Effect of Peer Influence and Looting Concerns on Evacuation Behavior During Natural Disasters</t>
  </si>
  <si>
    <t xml:space="preserve">	
Social Force Model Calibration for Preschool Children Evacuations Based on Multiscenario Experiments</t>
  </si>
  <si>
    <t xml:space="preserve">        
Multiagent evacuation framework for a virtual fire emergency scenario based on generative adversarial imitation learning</t>
  </si>
  <si>
    <t>Integrating ROS and Android for Rescuers in a Cloud Robotics Architecture: Application to a Casualty Evacuation Exercise</t>
  </si>
  <si>
    <t xml:space="preserve">	
Improving the Resilience of Military Hospitals Through Self-Adaptation of Hospital Systems Using Organic Computing</t>
  </si>
  <si>
    <t>Efficient Parameter Exploration of Simulation Studies</t>
  </si>
  <si>
    <t>Assessing Prehospital Seismic Resilience: An Agent-Based Modeling Approach</t>
  </si>
  <si>
    <t>An approach to parallelization of respiratory disease spread simulations in emergency rooms</t>
  </si>
  <si>
    <t xml:space="preserve">	
Multi-agent Crowd Simulation in an Active Shooter Environment</t>
  </si>
  <si>
    <t>Post-Disaster Repair Crew Assignment Optimization Using Minimum Latency</t>
  </si>
  <si>
    <t xml:space="preserve">	
A Methodology for DSML-Assisted Participatory Agent-Based Enterprise Modelling</t>
  </si>
  <si>
    <t>Designing inclusion and continuity for resilient communication during disasters</t>
  </si>
  <si>
    <t>Multi-agent Task Coordination Method Based on RCRS</t>
  </si>
  <si>
    <t xml:space="preserve">	
A Socio-Technological Framework for Optimizing Water Utility Strategies and Resilience to Pandemic Changes and Contamination Events</t>
  </si>
  <si>
    <t>Agent-based simulation for vaccination networks design and analysis: preliminary gaps</t>
  </si>
  <si>
    <t xml:space="preserve">	
Exploring Spatial Patterns of Emergency Call Behavior in a Metropolitan City of China</t>
  </si>
  <si>
    <t>A Decision-Making System for emergency service design and management during pandemic COVID-19</t>
  </si>
  <si>
    <t xml:space="preserve">	
Distributed coordinated energy management system for DERs to realize cooperative resilience against blackout of power grid</t>
  </si>
  <si>
    <t>ONLINE PARAMETER ESTIMATION METHOD OF A MULTI-AGENT SIMULATOR FOR DEMAND PREDICTION IN A DISASTER-RECOVERY PERIOD</t>
  </si>
  <si>
    <t>CoSiT: An Agent-based Tool for Training and Awareness to Fight the Covid-19 Spread</t>
  </si>
  <si>
    <t>MULTI-AGENT EVENT-TRIGGERED CONTAINMENT CONTROL WITH JOINT CONNECTED SWITCHING TOPOLOGY</t>
  </si>
  <si>
    <t xml:space="preserve">	
An Agent-Based Metaheuristic with Cooperation Approach applied for patients'scheduling in hospital emergency department</t>
  </si>
  <si>
    <t>Multi-level Adaptation of Distributed Decision-Making Agents in Complex Task Environments</t>
  </si>
  <si>
    <t>Simulating the Behaviour and Displacement of Women in Water-Stressed Areas</t>
  </si>
  <si>
    <t xml:space="preserve">	
Cooperative Reinforcement Learning Aided Dynamic Routing in UAV Swarm Networks</t>
  </si>
  <si>
    <t xml:space="preserve">	
A Regional Necessity Based Multi-agent Target Search Strategy for Post-earthquake Rescue</t>
  </si>
  <si>
    <t xml:space="preserve">	
Developing Modern Agent Technologies in Combating Covid-19 Exposure: An Application in a Healthcare Facility</t>
  </si>
  <si>
    <t>Accelerating Development and Test of Cooperative Safety Systems with Advanced V2X Simulation</t>
  </si>
  <si>
    <t>Prediction of the impact of intervention methods on the epidemic of novel coronavirus based on a multi-agent model</t>
  </si>
  <si>
    <t xml:space="preserve">	
Energy-Aware Multi-Agent Reinforcement Learning for Collaborative Execution in Mission-Oriented Drone Networks</t>
  </si>
  <si>
    <t xml:space="preserve">	
Multi-agent Computation Offloading in UAV Assisted MEC via Deep Reinforcement Learning</t>
  </si>
  <si>
    <t>Multi-agent DDPG Enpowered UAV Trajectory Optimization for Computation Task Offloading</t>
  </si>
  <si>
    <t xml:space="preserve">	
Security Configuration and Pricing Scheme for Satellite-Terrestrial IoT: A Stackelberg Game</t>
  </si>
  <si>
    <t>Aerial Fire Image Synthesis and Detection</t>
  </si>
  <si>
    <t xml:space="preserve">	
Joint Optimization of UAV Trajectory and Task Allocation for Wireless Sensor Network Based on O-RAN Architecture</t>
  </si>
  <si>
    <t>A Load-Balanced and Energy-Efficient Navigation Scheme for UAV-Mounted Mobile Edge Computing</t>
  </si>
  <si>
    <t xml:space="preserve">	
Satellite Staring Beam Scheduling Strategy Based on Multi-agent Reinforcement Learning</t>
  </si>
  <si>
    <t xml:space="preserve">	
Decentralized Trajectory and Power Control Based on Multi-Agent Deep Reinforcement Learning in UAV Networks</t>
  </si>
  <si>
    <t>Deep Reinforcement Learning Based Computation Offloading in Heterogeneous MEC Assisted by Ground Vehicles and Unmanned Aerial Vehicles</t>
  </si>
  <si>
    <t xml:space="preserve">	
Cascade Failure Management in Distributed Smart Grid Using Multi-Agent Control</t>
  </si>
  <si>
    <t>Testing Requirements via User and System Stories in Agent Systems</t>
  </si>
  <si>
    <t xml:space="preserve">	
Assessment of Top-Down Design of Tsunami Evacuation Strategies Based on Drill and Modelled Data</t>
  </si>
  <si>
    <t xml:space="preserve">	
Integration of building information modeling and agent-based modeling for evacuation simulation</t>
  </si>
  <si>
    <t xml:space="preserve">	
A Review of Simulation and Application of Agent-Based Model Approaches</t>
  </si>
  <si>
    <t xml:space="preserve">	
Multi-hazard hospital evacuation planning during disease outbreaks using agent-based modeling</t>
  </si>
  <si>
    <t xml:space="preserve">	
Improving emergency response in the era of ADAS vehicles in the Smart City</t>
  </si>
  <si>
    <t>Time-critical decentralised situational awareness in emergencies: an adversarial biosecurity scenario</t>
  </si>
  <si>
    <t>Hastily formed knowledge networks and distributed situation awareness for collaborative robotics</t>
  </si>
  <si>
    <t xml:space="preserve">	
Multi-Agent DRL for Task Offloading and Resource Allocation in Multi-UAV Enabled IoT Edge Network</t>
  </si>
  <si>
    <t>Distributed UAV-BSS trajectory optimization for user-level fair communication service with multi-agent deep reinforcement learning</t>
  </si>
  <si>
    <t xml:space="preserve">	
Emergence of Informal Safety Leadership: A Social–Cognitive Process for Accident Prevention</t>
  </si>
  <si>
    <t xml:space="preserve">	
Ensemble learning for large-scale crowd flow prediction</t>
  </si>
  <si>
    <t xml:space="preserve">	
An Approach to the Modeling and Simulation of Intra-Hospital Diseases | Un Acercamiento a la Modelización y Simulación de Enfermedades Intra-Hospitalarias</t>
  </si>
  <si>
    <t>Agent-based autonomous pollution source localization for complex environment</t>
  </si>
  <si>
    <t xml:space="preserve">	
Sustainable and resilient strategies for touristic cities against COVID-19: An agent-based approach</t>
  </si>
  <si>
    <t>Immunized token-based approach for autonomous deployment of multiple mobile robots in burnt area</t>
  </si>
  <si>
    <t xml:space="preserve">	
Adaptive Reward for CAV Action Planning using Monte Carlo Tree Search</t>
  </si>
  <si>
    <t xml:space="preserve">	
Introducing interactivity in disaster recovery simulations</t>
  </si>
  <si>
    <t xml:space="preserve">	
Cybernetics approach using agent-based modeling in the process of evacuating educational institutions in case of disasters</t>
  </si>
  <si>
    <t xml:space="preserve">	
Study on influence of prior recognition of flooding state on evacuation behavior</t>
  </si>
  <si>
    <t>Development and Evaluation of Regional Information Sharing System (RISS) for Disaster Risk Reduction</t>
  </si>
  <si>
    <t>Multi-sensing paradigm based urban air quality monitoring and hazardous gas source analyzing: a review</t>
  </si>
  <si>
    <t xml:space="preserve">	
Integrated energy management system for Microgrids of building prosumers</t>
  </si>
  <si>
    <t>Intelligent decision system of emergency response based on multi-Agent cooperation in chemical industry park | 化工园区多Agent协同应急智能决策体系</t>
  </si>
  <si>
    <t xml:space="preserve">	
Modeling Interventions to Reduce the Spread of Multidrug-Resistant Organisms between Health Care Facilities in a Region</t>
  </si>
  <si>
    <t>Adaptive Agent-Based Modeling Framework for Collective Decision-Making in Crowd Building Evacuation</t>
  </si>
  <si>
    <t xml:space="preserve">	
Research on path planning algorithm for crowd evacuation</t>
  </si>
  <si>
    <t xml:space="preserve">	
An agent-based model for supply chain recovery in the wake of the COVID-19 pandemic</t>
  </si>
  <si>
    <t xml:space="preserve">	
3d agent-based model of pedestrian movements for simulating covid-19 transmission in university students</t>
  </si>
  <si>
    <t>Study on the Deployment and Dispatching of Aeronautic Emergency Rescue Transport Based on Virtual Simulation</t>
  </si>
  <si>
    <t xml:space="preserve">	
Scalable Monte Carlo tree search for CAV s action planning in colliding scenarios</t>
  </si>
  <si>
    <t xml:space="preserve">	
Development of a radiological emergency evacuation model using agent-based modeling</t>
  </si>
  <si>
    <t xml:space="preserve">	
Discrete-event simulations for metro train operation under emergencies: A multi-agent based model with parallel computing</t>
  </si>
  <si>
    <t xml:space="preserve">	
The effectiveness of mobility control, shortening of restaurants’ opening hours, and working from home on control of COVID-19 spread in Japan</t>
  </si>
  <si>
    <t>Hybrid agent-based methodology for testing response protocols</t>
  </si>
  <si>
    <t xml:space="preserve">	
POINT CLOUD BASED 3D MODELS for AGENT BASED SIMULATIONS in SOCIAL DISTANCING and EVACUATION</t>
  </si>
  <si>
    <t xml:space="preserve">	
Improving human behaviour in macroscale city evacuation agent-based simulation</t>
  </si>
  <si>
    <t xml:space="preserve">	
Application of bug navigation algorithms for large-scale agent-based evacuation modeling to support decision making</t>
  </si>
  <si>
    <t xml:space="preserve">	
Assessing the short-run effects of lockdown policies on economic activity, with an application to the Santiago Metropolitan Region, Chile</t>
  </si>
  <si>
    <t xml:space="preserve">	
Impact of removal strategies of stay-at-home orders on the number of covid-19 infectors and people leaving their homes</t>
  </si>
  <si>
    <t xml:space="preserve">	
DeepRAT: A DRL-Based Framework for Multi-RAT Assignment and Power Allocation in HetNets</t>
  </si>
  <si>
    <t>Sensitivity-driven simulation development: A case study in forced migration</t>
  </si>
  <si>
    <t>An emergency response system by dynamic simulation and enhanced particle swarm optimization and application for a marine oil spill accident</t>
  </si>
  <si>
    <t xml:space="preserve">	
Anytime and Efficient Multi-agent Coordination for Disaster Response</t>
  </si>
  <si>
    <t>Deep reinforcement learning for collaborative offloading in heterogeneous edge networks</t>
  </si>
  <si>
    <t xml:space="preserve">	
The Simulation Algorithms Based on RL and SFM in Emergency Evacuation</t>
  </si>
  <si>
    <t>Consumer panic buying: Realizing its consequences and repercussions on the supply chain</t>
  </si>
  <si>
    <t xml:space="preserve">	
Improvement of multi-agent routing guidance with an intelligent traffic light scheduling and the ability to select intermediate destinations</t>
  </si>
  <si>
    <t xml:space="preserve">	
Resource Allocation for Delay-Sensitive Vehicle-to-Multi-Edges (V2Es) Communications in Vehicular Networks: A Multi-Agent Deep Reinforcement Learning Approach</t>
  </si>
  <si>
    <t>Distributed Multi-Cloud Multi-Access Edge Computing by Multi-Agent Reinforcement Learning</t>
  </si>
  <si>
    <t xml:space="preserve">	
Evacuation Analysis of Ship Passenger Using Agent Based Modelling Simulation</t>
  </si>
  <si>
    <t xml:space="preserve">	
Simulation of Benefit Distribution in Platform Delivery Mode | 外卖平台专送式利益分配仿真</t>
  </si>
  <si>
    <t xml:space="preserve">	
How Long-Term Acute Care Hospitals Can Play an Important Role in Controlling Carbapenem-Resistant Enterobacteriaceae in a Region: A Simulation Modeling Study</t>
  </si>
  <si>
    <t xml:space="preserve">	
Simulation Model of Stampede Accident Based on Multi-Agent and Game Theory</t>
  </si>
  <si>
    <t xml:space="preserve">	
Discrete-Event Modeling and Simulation of Diffusion Processes in Multiplex Networks</t>
  </si>
  <si>
    <t>Agent-based model for post-earthquake housing recovery</t>
  </si>
  <si>
    <t xml:space="preserve">	
An agent-based modeling approach to estimate pathogen exposure risks from wheelchairs</t>
  </si>
  <si>
    <t xml:space="preserve">	
Development of calibrated tsunami evacuation models through real-world collected data: The case study of Coquimbo-La Serena, Chile</t>
  </si>
  <si>
    <t xml:space="preserve">        
Predictive Agent-Based Modeling of Natural Disasters Using Machine Learning</t>
  </si>
  <si>
    <t>BIM-ABM simulation for emergency evacuation from conference hall, considering gender segregation and architectural design</t>
  </si>
  <si>
    <t>ABM-Based Emergency Evacuation Simulation considering Dynamic Dependency in Infrastructures</t>
  </si>
  <si>
    <t xml:space="preserve">	
Considering COVID-19 pandemic reaction and response analogies in an agent-based modeling framework for water distribution system contamination response</t>
  </si>
  <si>
    <t xml:space="preserve">	
Crowd Cognitive Modeling as a Vital Process for Collaborative Disaster Management</t>
  </si>
  <si>
    <t>A Model-based Analysis of Evacuation Strategies in Hospital Emergency Departments</t>
  </si>
  <si>
    <t>An Experimental Study of Collaborative Behaviors in Emergency Evacuation Scenarios</t>
  </si>
  <si>
    <t xml:space="preserve">	
Agent-based evacuation simulation from subway train and platform</t>
  </si>
  <si>
    <t>Evacuation-route recommendation using DTN with evacuee attributes in disasters</t>
  </si>
  <si>
    <t>Agent-based modeling and simulation in the research of environmental sustainability. A bibliography</t>
  </si>
  <si>
    <t xml:space="preserve">	
A Multi-agent Approach for Evacuation Support in Mountainous Areas Using UAV</t>
  </si>
  <si>
    <t>An Agent Based Modelling Approach for Dynamic Risk Modelling in Emergency Response</t>
  </si>
  <si>
    <t>A comprehensive simulation framework for modeling a dynamic multi-agent emergency system</t>
  </si>
  <si>
    <t xml:space="preserve">	
Research on partitioning guide strategy of evacuation in public buildings</t>
  </si>
  <si>
    <t xml:space="preserve">	
Support of Decision-Making in Preparation of Crisis Management Personnel for Crisis Situations Solving - Use of the Pathfinder Software</t>
  </si>
  <si>
    <t>Agent-based simulation model of bus evacuation events</t>
  </si>
  <si>
    <t xml:space="preserve">	
Operational analysis and planning for hadr missions with the agent-based logistics assistance simulation (Atlas)</t>
  </si>
  <si>
    <t xml:space="preserve">	
ATPT: Automate typhoon contingency plan generation from text</t>
  </si>
  <si>
    <t>Placing Information Boxes to Reduce Power Consumption in Disaster Communications Using DTN</t>
  </si>
  <si>
    <t xml:space="preserve">	
CSonNet: An Agent-Based Modeling Software System for Discrete Time Simulation</t>
  </si>
  <si>
    <t xml:space="preserve">	
Evacuation by leader-follower model with bounded confidence and predictive mechanisms</t>
  </si>
  <si>
    <t>Modelling Situation-Aware Formalism Using BDI Reasoning Agents</t>
  </si>
  <si>
    <t xml:space="preserve">	
Multi-agent simulations of urban emergency management mechanisms | 基于多智能体的突发事件下城市应急管理机制仿真</t>
  </si>
  <si>
    <t xml:space="preserve">	
Towards a Real Time Distributed Flood Early Warning System</t>
  </si>
  <si>
    <t xml:space="preserve">	
Negotiating an Inefficient Market: An Agent-Based Model Approach to Property Insurance Claim Negotiations</t>
  </si>
  <si>
    <t xml:space="preserve">	
Opinion dynamics and collective risk perception: An agent-based model of institutional and media communication about disasters</t>
  </si>
  <si>
    <t xml:space="preserve">	
Towards a Distributed SMA-based Solution for the Interoperability of Hospital Information Systems for Better Routing of Emergency Ambulances</t>
  </si>
  <si>
    <t xml:space="preserve">	
A Multi-cell Cellular Automata Model of Traffic Flow with Emergency Vehicles: Effect of a Corridor of Life</t>
  </si>
  <si>
    <t xml:space="preserve">	
Context-Aware Services Using MANETs for Long-Distance Vehicular Systems: A Cognitive Agent-Based Model</t>
  </si>
  <si>
    <t xml:space="preserve">	
Grab the reins of crowds: Estimating the effects of crowd movement guidance using causal inference</t>
  </si>
  <si>
    <t>Deep Reinforcement Learning Interdependent Healthcare Critical Infrastructure Simulation model for Dynamically Varying COVID-19 scenario – A case study of a Metro City</t>
  </si>
  <si>
    <t xml:space="preserve">	
Data Management in Multi-Agent Simulation Systems From Challenges to First Solutions</t>
  </si>
  <si>
    <t>Optimization Algorithm and Simulation of Public Resource Emergency Scheduling Based on Wireless Sensor Technology</t>
  </si>
  <si>
    <t>Enabling Drones Collaboration in ITS Applications Using a BDI Architecture Based on a 5-Dimensional</t>
  </si>
  <si>
    <t>Do fodder import and credit loans lead to climate resiliency in the pastoral social-ecological system of inner mongolia?</t>
  </si>
  <si>
    <t xml:space="preserve">	
A Systematic Review of Simulation Models to Track and Address the Opioid Crisis</t>
  </si>
  <si>
    <t xml:space="preserve">	
Toward a Framework and SUMO-based Simulation for Smart Traffic Control Using Multiagent Learning</t>
  </si>
  <si>
    <t xml:space="preserve">        
A Multi Risk Analysis for the Planning, Management and Retrofit of Cultural Heritage in Historic Urban Districts</t>
  </si>
  <si>
    <t>Multi-agent Approach for Smart Resilient City</t>
  </si>
  <si>
    <t>Aggregating Learning Agents for Microgrid Energy Scheduling during Extreme Weather Events</t>
  </si>
  <si>
    <t>A Cooperative Sensor-Based Navigational Concept for Heterogeneous AUV Swarms</t>
  </si>
  <si>
    <t xml:space="preserve">	
Decentralized Multi-Agent Active Search for Sparse Signals</t>
  </si>
  <si>
    <t xml:space="preserve">	
Autonomous braking and throttle system: A deep reinforcement learning approach for naturalistic driving</t>
  </si>
  <si>
    <t xml:space="preserve">	
Analysis of the Distributed Immune Inspection Equipment Sensor Scheduling Model Based on Adaptive Dynamic Probabilistic Particle Swarm Optimization</t>
  </si>
  <si>
    <t>Crowd simulation for crisis management: The outcomes of the last decade</t>
  </si>
  <si>
    <t>Crowd Evacuation during Slashing Terrorist Attack: A Multi-Agent Simulation Approach</t>
  </si>
  <si>
    <t>Influence of exits and evacuees on evacuation efficiency</t>
  </si>
  <si>
    <t>A Simulation Method of Personnel Evacuation Management Based on Mulit-Agent Models</t>
  </si>
  <si>
    <t>Agent-based modelling and flood risk management: A compendious literature review</t>
  </si>
  <si>
    <t>Nonverbal leadership emergence in walking groups</t>
  </si>
  <si>
    <t xml:space="preserve">	
Effects of misinformation diffusion during a pandemic</t>
  </si>
  <si>
    <t>Concept and demonstration of a fully coupled and dynamic exposure-response methodology for crowd evacuation numerical modelling in airborne-toxic environments</t>
  </si>
  <si>
    <t>Development of a conceptual model and methods for multi-Agent state assessment of technogenic systems</t>
  </si>
  <si>
    <t xml:space="preserve">	
Integrating social networks into large-scale urban simulations for disaster responses</t>
  </si>
  <si>
    <t>Intercity Simulation of Human Mobility at Rare Events via Reinforcement Learning</t>
  </si>
  <si>
    <t>Post-earthquake modelling of transportation networks using an agent-based model</t>
  </si>
  <si>
    <t>Multi-agent deep neural networks coupled with LQF-MWM algorithm for traffic control and emergency vehicles guidance</t>
  </si>
  <si>
    <t>Multimodal transportation system protection against sea level rise</t>
  </si>
  <si>
    <t xml:space="preserve">	
A Novel Approach for Developing Emergency Evacuation Plans</t>
  </si>
  <si>
    <t xml:space="preserve">	
Unravelling the influence of human behaviour on reducing casualties during flood evacuation</t>
  </si>
  <si>
    <t xml:space="preserve">	
Agent-based modeling and simulations of terrorist attacks combined with stampedes</t>
  </si>
  <si>
    <t>Donabedian Approach for Simulation Modeling to Evaluate the Quality of Emergency Medical Services in a Large Metropolitan Area: A Case Study</t>
  </si>
  <si>
    <t>Multi-Agent based Simulation Modelling for Passenger Flow Emergency Evacuation in Scenic Spots</t>
  </si>
  <si>
    <t xml:space="preserve">	
Decentralized Learning Based Indoor Interference Mitigation for 5G-and-Beyond Systems</t>
  </si>
  <si>
    <t xml:space="preserve">	
Modeling latent infection transmissions through biosocial stochastic dynamics</t>
  </si>
  <si>
    <t xml:space="preserve">	
Digital Platform to promote sustainable mobility and COVID-19 infections reduction: A use case in the Guadalajara metropolitan area</t>
  </si>
  <si>
    <t xml:space="preserve">	
Multi-Agent Deep Reinforcement Learning based Interdependent Critical Infrastructure Simulation Model for Situational Awareness during a Flood Event</t>
  </si>
  <si>
    <t xml:space="preserve">	
Studying the Impact of Public Transport on Disaster Evacuation</t>
  </si>
  <si>
    <t>Agent-based Modeling and Simulation for Emergency Scenarios: A Holistic Approach</t>
  </si>
  <si>
    <t xml:space="preserve">	
An agent-based simulation framework for analysing fall risk among older adults in the evacuation procedures</t>
  </si>
  <si>
    <t xml:space="preserve">	
Agent-based modelling of pedestrian responses during flood emergency: Mobility behavioural rules and implications for flood risk analysis</t>
  </si>
  <si>
    <t xml:space="preserve">	
Agent-Based Simulation of Metropolitan Area Evacuation by Unmanned Air Mobility</t>
  </si>
  <si>
    <t xml:space="preserve">	
Agent-oriented Decision Support System for Business Processes Management with Genetic Algorithm Optimization: an Application in Healthcare</t>
  </si>
  <si>
    <t xml:space="preserve">	
Emergency Response after Disaster Strikes: Agent-Based Simulation of Ambulances in New Windsor, NY</t>
  </si>
  <si>
    <t xml:space="preserve">	
Cluster-based optimization of an evacuation process using a parallel bi-objective real-coded genetic algorithm</t>
  </si>
  <si>
    <t xml:space="preserve">	
A Method for Projections of the Emergency Department Behaviour by Non-Communicable Diseases from 2019 to 2039</t>
  </si>
  <si>
    <t xml:space="preserve">	
An Integrated Approach for Assessing the Impact of Large-Scale Future Floods on a Highway Transport System</t>
  </si>
  <si>
    <t xml:space="preserve">	
Evaluation of the Cost-effectiveness of Infection Control Strategies to Reduce Hospital-Onset Clostridioides difficile Infection</t>
  </si>
  <si>
    <t>Strategies for controlling false online information during natural disasters: The case of Typhoon Mangkhut in China</t>
  </si>
  <si>
    <t>Estimated time to restoration of Hurricane Sandy in a future climate</t>
  </si>
  <si>
    <t xml:space="preserve">	
Tsunami evacuation analysis in the urban built environment: a multi-scale perspective through two modeling approaches in Viña del Mar, Chile</t>
  </si>
  <si>
    <t xml:space="preserve">	
Improving emergency evacuation planning with mobile phone location data</t>
  </si>
  <si>
    <t>Building design and its effect on evacuation efficiency and casualty levels during an indoor active shooter incident</t>
  </si>
  <si>
    <t>Evolutionary Multiobjective Optimization for Pedestrian Route Guidance with Multiple Scenarios</t>
  </si>
  <si>
    <t>Multi-role UAV swarm behaviors for wide area search using emergent intelligence</t>
  </si>
  <si>
    <t>Civilian Characteristics and Casualties of Terrorist Attacks in Public Places</t>
  </si>
  <si>
    <t>Impacts of malicious attacks on robustness of knowledge networks: a multi-agent-based simulation</t>
  </si>
  <si>
    <t>A state-of-the-art review of multi-agent modelling of crowd dynamic</t>
  </si>
  <si>
    <t xml:space="preserve">	
Impact of classroom facilities on evacuation and its simulation</t>
  </si>
  <si>
    <t xml:space="preserve">	
Behavior modeling method and its application in combat simulation</t>
  </si>
  <si>
    <t>A multi-agent model of changes in urban safety livability</t>
  </si>
  <si>
    <t xml:space="preserve">	
Interference Coordination for Autonomous Small Cell Networks Based on Distributed Learning</t>
  </si>
  <si>
    <t>MAS-SEIR-II Simulation on COVID-19 in China</t>
  </si>
  <si>
    <t>Sustainable food security decision-making: An agent-based modelling approach.</t>
  </si>
  <si>
    <t xml:space="preserve">	
Agent based model</t>
  </si>
  <si>
    <t xml:space="preserve">	
A model for the spread of infectious diseases in a region</t>
  </si>
  <si>
    <t xml:space="preserve">	
Enhanced Safe Conduct And Preparation For Effective Evacuation (Escapee) Using Gama</t>
  </si>
  <si>
    <t xml:space="preserve">	
An emergency management system for government data security based on artificial intelligence</t>
  </si>
  <si>
    <t>Hierarchical behavior model for multi-agent system with evasion capabilities and dynamic memory</t>
  </si>
  <si>
    <t xml:space="preserve">	
Multi-agent simulation of individuals' escape in the urban rainstorm context based on dynamic recognition-primed decision model</t>
  </si>
  <si>
    <t>ViCTS: A novel network partition algorithm for scalable agent-based modeling of mass evacuation</t>
  </si>
  <si>
    <t xml:space="preserve">	
Decentralized Voltage Control of Power Systems Using Multi-agent Systems</t>
  </si>
  <si>
    <t>Spatiotemporal Integration of an Agent-Based First Responder Performance Model with a Fire Hazard Propagation Model for Probabilistic Risk Assessment of Nuclear Power Plants</t>
  </si>
  <si>
    <t>Multi-agents system for early disaster detection, evacuation and rescuing</t>
  </si>
  <si>
    <t xml:space="preserve">	
Real-time mapping of natural disasters using citizen update streams</t>
  </si>
  <si>
    <t>Enforced strategy for efficiently improving warning communications among evacuees</t>
  </si>
  <si>
    <t xml:space="preserve">	
Passenger ship evacuation simulation model considering retrograde avoidance behavior | 考虑逆行避让行为的客船疏散仿真模型</t>
  </si>
  <si>
    <t xml:space="preserve">	
Analysis of flood evacuation process in vulnerable community with mutual aid mechanism: An agent-based simulation framework</t>
  </si>
  <si>
    <t xml:space="preserve">	
Constructing constraint-based simulation system for creating emergency evacuation plans: A case of an outpatient chemotherapy area at a cancer medical center</t>
  </si>
  <si>
    <t xml:space="preserve">	
MAS-Based Evacuation Simulation of an urban community during an urban rainstorm disaster in China</t>
  </si>
  <si>
    <t>Emergency evacuation from a multi-floor building using agent-based modeling</t>
  </si>
  <si>
    <t>Agent-based modeling to integrate dispersion phenomena and evacuation options in radiological accidents</t>
  </si>
  <si>
    <t>Identifying a Suitable Pedestrian Simulation Software—A Case Study on Emergency Evacuation of Classroom</t>
  </si>
  <si>
    <t xml:space="preserve">	
Safety resilience promotion strategies for mountainous neighborhoods in southwestern China based on crowd evacuation behavior | 基于人群疏散行为的西南山地城镇住区安全韧性提升对策</t>
  </si>
  <si>
    <t>A conceptual study on the complex behaviour of radiological emergency evacuation - Focusing on resilience</t>
  </si>
  <si>
    <t xml:space="preserve">	
Proposal of Evacuation Support System and Evaluation by Multi-agent Simulation in a Regional Disaster</t>
  </si>
  <si>
    <t xml:space="preserve">	
Increasing evacuation during disaster events</t>
  </si>
  <si>
    <t xml:space="preserve">	
A conceptual study on the complex behaviour of radiological emergency evacuation – focusing on resilience</t>
  </si>
  <si>
    <t xml:space="preserve">	
MAS-Based Interaction Simulation within Asymmetric Information on Emergency Management of Urban Rainstorm Disaster</t>
  </si>
  <si>
    <t>Characterizing social community structures in emergency shelter planning</t>
  </si>
  <si>
    <t xml:space="preserve">	
Agent based modeling for flood inundation mapping and rerouting</t>
  </si>
  <si>
    <t xml:space="preserve">	
Probabilistic model of building evacuation during a flood</t>
  </si>
  <si>
    <t>Simulation of Passenger Behavior in Virtual Subway Station Based on Multi-Agent</t>
  </si>
  <si>
    <t>Effects of group travel behavior and instruction on the efficiency of evacuation during an emergency</t>
  </si>
  <si>
    <t xml:space="preserve">	
A proposal of human interface for evacuation support system on smartphone</t>
  </si>
  <si>
    <t xml:space="preserve">	
Disaster mitigation in urban Pakistan using agent based modeling with GIS</t>
  </si>
  <si>
    <t xml:space="preserve">	
Research on trans-region integrated traffic emergency dispatching technology based on multi-agent</t>
  </si>
  <si>
    <t xml:space="preserve">	
Grouping Methods for Facilitating Emergency Evacuations</t>
  </si>
  <si>
    <t>Recovus: An agent-based model of post-disaster household recovery</t>
  </si>
  <si>
    <t>Disaster Response Simulation as a Testbed for Multi-Agent Systems</t>
  </si>
  <si>
    <t>Effects of different staircase design factors on evacuation of children from kindergarten buildings analyzed via agent-based simulation</t>
  </si>
  <si>
    <t>A study on safe evacuation from inundated underground mall by a multi-agent model</t>
  </si>
  <si>
    <t>An intelligent scheduling of non-critical patients admission for emergency department</t>
  </si>
  <si>
    <t xml:space="preserve">	
Constructing an Agent Taxonomy from a Simulation Through Topological Data Analysis</t>
  </si>
  <si>
    <t>Towards a finer heritage management: Evaluating the tourism carrying capacity using an agent-based model</t>
  </si>
  <si>
    <t xml:space="preserve">	
Spontaneous volunteers across national borders: An agent-based comparison</t>
  </si>
  <si>
    <t>Algorithms for Forming a Knowledge Base for Decision Support Systems in Cybersecurity Tasks</t>
  </si>
  <si>
    <t xml:space="preserve">	
Disaster Response Simulation</t>
  </si>
  <si>
    <t xml:space="preserve">	
An agent-based simulation to study the effect of consumer panic buying on supply chain</t>
  </si>
  <si>
    <t xml:space="preserve">	
An Event-Driven Multi Agent System for Scalable Traffic Optimization</t>
  </si>
  <si>
    <t xml:space="preserve">	
Investigating impacts of telemedicine on emergency department through decreasing non-urgent patients in Spain</t>
  </si>
  <si>
    <t xml:space="preserve">	
Energy consumption models in dialysis clinics for agent-based decision support</t>
  </si>
  <si>
    <t xml:space="preserve">	
Modelling and optimizing hospital emergency department workflow</t>
  </si>
  <si>
    <t>Modeling spontaneous volunteer convergence using agent-based simulation</t>
  </si>
  <si>
    <t>An agent-based simulation of the spread of dengue fever</t>
  </si>
  <si>
    <t>An Autonomous Spectrum Management Scheme for Unmanned Aerial Vehicle Networks in Disaster Relief Operations</t>
  </si>
  <si>
    <t xml:space="preserve">	
Analysis of frameworks for traffic agent simulations</t>
  </si>
  <si>
    <t xml:space="preserve">	
A receding horizon scheduling approach for search &amp; rescue scenarios</t>
  </si>
  <si>
    <t xml:space="preserve">	
Simulation of containment and wireless emergency alerts within targeted pressure zones for water contamination management</t>
  </si>
  <si>
    <t xml:space="preserve">	
Human-agents Interactions in Multi-Agent Systems: A case study of human-UAVs team for forest fire lookouts</t>
  </si>
  <si>
    <t xml:space="preserve">	
Empirical study on modeling of people behavior in emergency</t>
  </si>
  <si>
    <t>Optimizing the Post-Disaster Control of Islanded Microgrid: A Multi-Agent Deep Reinforcement Learning Approach</t>
  </si>
  <si>
    <t xml:space="preserve">	
Distributed Mutual Exclusion Algorithms for Intersection Traffic Problems</t>
  </si>
  <si>
    <t xml:space="preserve">	
Public Opinion Divergence Based on Multi-agent Communication Topology Interconnection</t>
  </si>
  <si>
    <t>Real-time distributed automation of road intersections</t>
  </si>
  <si>
    <t>Quantitative decision-making model for consumer panic buying in disaster scenarios</t>
  </si>
  <si>
    <t xml:space="preserve">	
Quantitative decision-making model for consumer panic buying in disaster scenarios</t>
  </si>
  <si>
    <t>VLC-Enabled Human-Aware Building Management System</t>
  </si>
  <si>
    <t>Multi-agent based traffic light management for privileged lane</t>
  </si>
  <si>
    <t>Cybercrime Detection Using Graph Neural Networks: A Cross-Border Law Enforcement Approach</t>
  </si>
  <si>
    <t>Smart Crisis Management: A Unified System for Early Warning, Emergency Supply Allocation, and Post-Disaster Recovery Tracking</t>
  </si>
  <si>
    <t>A Multi-Level Digital Twin for User-Side Energy Storage via Agent-Based Simulation</t>
  </si>
  <si>
    <t>Behaviour Modelling of Self-Learning UAVs using Agent-Based Simulation for Understanding Battery Depletion Rates and Operational Lifespan</t>
  </si>
  <si>
    <t>Digital Twins for Simulation of Law Enforcement Operations in Urban Environments</t>
  </si>
  <si>
    <t>Research on Model Construction and Performance Optimization of City Brain and Community Micro Brain Collaborative Governance</t>
  </si>
  <si>
    <t>Digital Twin-Driven Flood Evacuation System using Graph Algorithms</t>
  </si>
  <si>
    <t>Reinforcement Learning-Based Pathfinding for Multiple UAVs Facing Abrupt Hazardous Areas</t>
  </si>
  <si>
    <t>An Adaptive Multi-Agent System for Real-Time, Priority-Based Traffic Regulation</t>
  </si>
  <si>
    <t>Transportation Electrification in Crisis: A 2025 Review of Electric Vehicle Mobility and Infrastructure Resilience During Disruptive Events</t>
  </si>
  <si>
    <t>Dynamics of Patient Flow Under Low Acuity Rerouting: An Agent-Based Prototype for a Digital Twin of an Emergency Department in Canada</t>
  </si>
  <si>
    <t>EthosNet: A Governance Framework for Morally-Aligned AI in a Fragmented Digital Society</t>
  </si>
  <si>
    <t>Research on Dynamic Resource Supply Strategy of Hard Shoulder of Expressway Based on Reinforcement Learning</t>
  </si>
  <si>
    <t>Emergency response to large-scale power outages: Emotion-Enhanced Multi-Agent System architecture</t>
  </si>
  <si>
    <t>An Intelligent Agent-Based Simulation Model for predicting Waiting Times in Hospital Emergency Departments</t>
  </si>
  <si>
    <t>Advance LLM-based Model-Context-Protocol and Agent to Agent Protocol for Child Medical Emergency</t>
  </si>
  <si>
    <t>Supply Chain Anomaly Detection by using Simulation and Machine Learning</t>
  </si>
  <si>
    <t>Simulating Patient-Provider Interaction in ICU Alarm Response: A Hybrid Modeling Approach</t>
  </si>
  <si>
    <t>Evaluating Epidemic Scenarios with Agent-Based Simulation: A Case Study from UK Public Health Workshop</t>
  </si>
  <si>
    <t xml:space="preserve">
AI-Empowered Data-Driven Agent-Based Modeling and Simulation: Challenges, Methodologies, and Future Perspectives</t>
  </si>
  <si>
    <t>AURORA: Enhancing Synthetic Population Realism Through RAG and Salience-Aware Opinion Modeling</t>
  </si>
  <si>
    <t>Mapping Applications of Computer Simulation in Orthopedic Services: A Topic Modeling Approach</t>
  </si>
  <si>
    <t>Decision-Making on Timing and Route Selection: A Game-Theoretic Approach</t>
  </si>
  <si>
    <t>Task allocation for multi-agent systems via unequal-dimensional optimal transport</t>
  </si>
  <si>
    <t>Integrating Multi-Agent Systems with a Cloud-Based Decision Engine for Cognitive Maritime Informatics</t>
  </si>
  <si>
    <t>P2P Energy Sharing EMS With EVs For Resilience On An Event-Triggered Control Scheme</t>
  </si>
  <si>
    <t>Preventive Maintenance Solutions Generation Model for Organizations</t>
  </si>
  <si>
    <t>Research on the Pathways of Information Technology Empowering Cities to Enhance Disaster Resilience</t>
  </si>
  <si>
    <t>Agent-Based Modeling for Emergency Supply Network Planning: A Bi-Objective Optimization Perspective</t>
  </si>
  <si>
    <t>Flood Watch: A Multi-Agent System for Smarter Disaster Response</t>
  </si>
  <si>
    <t>Construction of Amulti-level and Multi-Resolution Simulation Model System for Metro Lines</t>
  </si>
  <si>
    <t xml:space="preserve">When DeepSeek meets E-CARGO </t>
  </si>
  <si>
    <t>Density-Driven Formation Control of a Multi-Agent System with an Application to Search-and-Rescue Missions</t>
  </si>
  <si>
    <t>Simulating the Effects of Prior Environmental Knowledge on Fire Egress</t>
  </si>
  <si>
    <t>Framework for Cooperative Routing Optimization in FANETs: A Multi-Agent Perspective</t>
  </si>
  <si>
    <t>Designing a Tool for Evacuation Plan Validation: Multi-Agent Simulations with Persona-Based UI</t>
  </si>
  <si>
    <t>Unlocking Complexity: Harnessing Value Entropy for Advanced Multidimensional Utility Evaluation in Service Ecosystems</t>
  </si>
  <si>
    <t>Determining Strong Connectivity Method of Periodic Fuzzy Graph for Decision Analysis in Emergency Situations</t>
  </si>
  <si>
    <t>Real-Time Intelligent Landing-Management Under Urban Unpredictable Operations</t>
  </si>
  <si>
    <t>Intelligent Traffic Management System using Multi-Agent Reinforcement Learning</t>
  </si>
  <si>
    <t>Integrative modelling and resilience enhancement in critical infrastructure systems: a comprehensive approach</t>
  </si>
  <si>
    <t>Enhancing Building Evacuation Efficiency in Case of Fire Breakout by Integrating Evacuee Categorization Into an Agent-Based Simulation</t>
  </si>
  <si>
    <t>Agent-Based-Simulation-GIS Enabled Efficient and Robust Emergency First Responder Dispatching</t>
  </si>
  <si>
    <t xml:space="preserve">
Multi-Agent Modeling and Discrete-Event Simulation for Analyzing the Responsiveness of Pre-Hospital Emergency Services in the Event of Mass Casualties Due to Rare Events</t>
  </si>
  <si>
    <t>A Novel Cellular Automaton Model for Optimized Multi-Exit Crowd Evacuation in High-Density Environments</t>
  </si>
  <si>
    <t>Research on Collaborative Decision Making Mechanism for Helicopter Rescue Tasks Based on Intelligent Computing</t>
  </si>
  <si>
    <t>Design Thinking Approach for Resource Allocation in Emergency Departments</t>
  </si>
  <si>
    <t>Assessing the Impact of Physicians‘ Behavior Variability on Performance Indicators in Emergency Departments: An Agent-Based Model</t>
  </si>
  <si>
    <t>An Integrated Simulation Platform for Cardiac Arrest Response System</t>
  </si>
  <si>
    <t>Simulation of Emergency Care Systems: A Taxonomy and Future Directions</t>
  </si>
  <si>
    <t xml:space="preserve">
Supply Chain Resilience Optimization with Agent-Based Modeling (SCROAM): A Novel Hybrid Framework</t>
  </si>
  <si>
    <t>An Agent-Based Model to Assess Interventions for Continuous Care of Cardiovascular Diseases After Natural Disasters</t>
  </si>
  <si>
    <t>Detecting Emergent Behaviors with an Expert System in Complex System</t>
  </si>
  <si>
    <t>Event-driven Rerouting Framework for Agent Behavior in Urban Traffic Simulation</t>
  </si>
  <si>
    <t>Agent-Based Modeling for Forest Fire Simulation in Chiang Mai, Thailand</t>
  </si>
  <si>
    <t>Virtual Coupling Trains Based on Multi-Agent System Under Communication Delay</t>
  </si>
  <si>
    <t>USING AGENT-BASED MODELING TO CALCULATE AN EASE SCORE:
EVACUATION WITH ACCEPTABLE SIMPLICITY IN EMERGENCIES</t>
  </si>
  <si>
    <t>Optimal Vaccine Distribution using Cloud-based Reinforcement Learning for Logistics Management</t>
  </si>
  <si>
    <t xml:space="preserve">
Modeling Human Emergency Evacuation in Sri Lankan Hospitals: An Agent-Based Approach</t>
  </si>
  <si>
    <t>Consensus Control of Nonlinear Fractional-Order Multiagent Systems With Input Saturation: A T–S Fuzzy Method</t>
  </si>
  <si>
    <t>Multi-Objective Location-Routing Network Optimization for Pre-Disaster Planning: A Case Study in the Philippines</t>
  </si>
  <si>
    <t>A Multi-Agent Based Simulation Modeling Method for UAV Swarm Collaborative Combat</t>
  </si>
  <si>
    <t>Research on Intelligent Supply Chain Risk Assessment System Based on Computer Supply Chain Risk Prevention and Control Technology</t>
  </si>
  <si>
    <t>Study of eVTOL Charging Impact on Airport Electrical Grids</t>
  </si>
  <si>
    <t>Computational Experiments for Complex Social Systems: Integrated Design of Experiment System</t>
  </si>
  <si>
    <t>Simulation of Crowd Evacuation in Subway Stations Under Flood Disasters</t>
  </si>
  <si>
    <t>A Systematic Analysis of Subgroup Research in Pedestrian and Evacuation Dynamics</t>
  </si>
  <si>
    <t>A Matrix Translation Model for Evacuation Path Optimization</t>
  </si>
  <si>
    <t>Modeling Human Temporal and Spatial Structured Contacts for Epidemic Prediction</t>
  </si>
  <si>
    <t>Characterizing Evacuee Behavior During a Robot-Guided Evacuation</t>
  </si>
  <si>
    <t xml:space="preserve">
Agent Architecture for Evacuation Pedestrian’s Crowded Public Places: Combination of Individual and Collaborative Reasoning</t>
  </si>
  <si>
    <t>Hybrid Models with Real-Time Data in Healthcare: A Focus on Data Synchronization and Experimentation</t>
  </si>
  <si>
    <t>Analysis of the Resilience of an Emergency Department: The Case of Accident with Multiple Victims</t>
  </si>
  <si>
    <t>Intelligent Facility Layout Planning for Emergency Department: A Multi-Agent System and Particle Swarm Optimization Approach</t>
  </si>
  <si>
    <t>Curriculum-Based Reinforcement Learning for an Effective Multi-Agent Path Planning Algorithm in Warehouse Scenarios</t>
  </si>
  <si>
    <t xml:space="preserve">
Effective Evacuation Planning by Leveraging Building Information</t>
  </si>
  <si>
    <t>Enhancing Health Care Infrastructure Resiliency Through an Agent-Based Simulation Methodology</t>
  </si>
  <si>
    <t>Identification of the Functioning Modes of a Robotic Technological Process Based on a Discrete-Event Model</t>
  </si>
  <si>
    <t>Emergency Evacuation Guidance Optimization in Urban Open Public Spaces</t>
  </si>
  <si>
    <t>DeRi-Bot: Learning to Collaboratively Manipulate Rigid Objects via Deformable Objects</t>
  </si>
  <si>
    <t>Developing A Large-Scale Agent-Based Model Using The Spiral Software Development Process</t>
  </si>
  <si>
    <t>Distributed fault diagnosis observer for multi-agent system against actuator and sensor faults</t>
  </si>
  <si>
    <t>Workplace Assignment to Workers in Synthetic Populations in Japan</t>
  </si>
  <si>
    <t>An Agent-Based Modeling and Virtual Reality Application Using Distributed Simulation: Case of a COVID-19 Intensive Care Unit</t>
  </si>
  <si>
    <t>Individual-based epidemiological model of COVID19 using location data</t>
  </si>
  <si>
    <t xml:space="preserve">
Modeling and Simulation of Food Bank Disaster Relief Operations</t>
  </si>
  <si>
    <t>Developing Modern Agent Technologies in Combating Covid-19 Exposure: An Application in a Healthcare Facility</t>
  </si>
  <si>
    <t xml:space="preserve">
Testing Effects of Various Barricades and Walls on Crowd Flows in a Four-Way Intersection</t>
  </si>
  <si>
    <t>Research on Human-in-the-loop Traffic Adaptive Decision Making Method</t>
  </si>
  <si>
    <t>An Agent-Based Metaheuristic with Cooperation Approach applied for patients’scheduling in hospital emergency department</t>
  </si>
  <si>
    <t>Assessing and improving ambulance coverage in the prefecture of Fez using discrete-event simulation</t>
  </si>
  <si>
    <t>A distributed digital twin implementation of a hemodialysis unit aimed at helping prevent the spread of the Omicron COVID-19 variant</t>
  </si>
  <si>
    <t>Distributed coordinated energy management system for DERs to realize cooperative resilience against blackout of power grid</t>
  </si>
  <si>
    <t>Multiagent Collaboration for Emergency Evacuation Using Reinforcement Learning for Transportation Systems</t>
  </si>
  <si>
    <t>A Review of Agent-Based Modelling Simulation Approaches to Integrated Flood Management</t>
  </si>
  <si>
    <t>Cooperative Reinforcement Learning Aided Dynamic Routing in UAV Swarm Networks</t>
  </si>
  <si>
    <t>A Multi-Agents Survivable Deep Reinforced Routing
and Spectrum Assignment Algorithm in Elastic
Optical Network</t>
  </si>
  <si>
    <t>Simulation of Passenger Restriction Measures under Metro Emergencies Based on Route Choice Behavior Analysis</t>
  </si>
  <si>
    <t>Large Event Halls Evacuation Using an
Agent-Based Modeling Approach</t>
  </si>
  <si>
    <t>Personalized Crowd Emotional Contagion Coupling the Virtual and Physical Cyberspace</t>
  </si>
  <si>
    <t>Modeling and Simulation of Crowd Evacuation With Signs at Subway Platform: A Case Study of Beijing Subway Stations</t>
  </si>
  <si>
    <t>Hybrid Conceptual Modeling for Simulation: An Ontology Approach During Covid-19</t>
  </si>
  <si>
    <t>Panel on Simulation Modeling for Covid-19</t>
  </si>
  <si>
    <t>CSonNet: An Agent-Based Modeling Software System for Discrete Time Simulation</t>
  </si>
  <si>
    <t>Relief Food Supply Network Simulation</t>
  </si>
  <si>
    <t xml:space="preserve">
Placing Information Boxes to Reduce Power Consumption in Disaster Communications Using DTN</t>
  </si>
  <si>
    <t xml:space="preserve">Decision Support for Infection Outbreak Analysis:
the case of the Diamond Princess cruise ship
</t>
  </si>
  <si>
    <t xml:space="preserve">
Multiagent Active Energy Complex Management System Architecture</t>
  </si>
  <si>
    <t xml:space="preserve">
A Distributed Simulation Approach to Integrate AnyLogic and Unity for Virtual Reality Applications: Case of COVID-19 Modelling and Training in a Dialysis Unit</t>
  </si>
  <si>
    <t>Resilience learning through self adaptation in digital twins of human-cyber-physical systems</t>
  </si>
  <si>
    <t>Simulation Research on Fire Evacuation of Large Public Buildings Based on Building Information Modeling</t>
  </si>
  <si>
    <t>SIM-PFED: A Simulation-Based Decision Making Model of Patient Flow for Improving Patient Throughput Time in Emergency Department</t>
  </si>
  <si>
    <t>Evacuation-Route Recommendation Using DTN with Evacuee Attributes in Disasters</t>
  </si>
  <si>
    <t>Simulation Applications in Humanitarian Logistics: A Systematic Literature Review</t>
  </si>
  <si>
    <t>IMPACT OF COVID-19 EPIDEMICS ON BED REQUIREMENTS IN A HEALTHCARE
CENTER USING DATA-DRIVEN DISCRETE-EVENT SIMULATION</t>
  </si>
  <si>
    <t>Crowd Evacuation During Slashing Terrorist Attack: A Multi-Agent Simulation Approach</t>
  </si>
  <si>
    <t>Multi-Agent Deep Reinforcement Learning based Interdependent Critical Infrastructure Simulation Model for Situational Awareness during a Flood Event</t>
  </si>
  <si>
    <t>Model and Simulation to Reduce Covid-19 New Infectious Cases: A Survey</t>
  </si>
  <si>
    <t>A Novel Approach for Developing Emergency Evacuation Plans</t>
  </si>
  <si>
    <t>Studying the Impact of Public Transport on Disaster Evacuation</t>
  </si>
  <si>
    <t>COVID-19 Transmission During a Tsunami Evacuation in a Lockdown City</t>
  </si>
  <si>
    <t>Genetic Algorithm Based Optimized Waste Collection in Smart Cities</t>
  </si>
  <si>
    <t>Innovative predictive model for Smart City security risk assessment</t>
  </si>
  <si>
    <t>Digital Platform to promote sustainable mobility and COVID-19 infections reduction: a use case in the Guadalajara metropolitan area</t>
  </si>
  <si>
    <t>A Time Domain-Based Iterative Method for Helicopter Maritime Search Area Planning and Construction of the Simulation Environment</t>
  </si>
  <si>
    <t>Multi-Role UAV Swarm Behaviors for Wide Area Search using Emergent Intelligence</t>
  </si>
  <si>
    <t>Studying Communications Resiliency in Emergency Plans</t>
  </si>
  <si>
    <t>Investigating Impacts of Telemedicine on Emergency Department Through Decreasing Non-Urgent Patients in Spain</t>
  </si>
  <si>
    <t>Distributed Mutual Exclusion Algorithms for Intersection Traffic Problems</t>
  </si>
  <si>
    <t>Coordinated Control in the Presence of Actuator Saturation for Multiple High-Speed Trains in the Moving Block Signaling System Mode</t>
  </si>
  <si>
    <t>A Method for Projections of the Emergency Department Behaviour by Non-Communicable Diseases From 2019 to 2039</t>
  </si>
  <si>
    <t>Simulation-Based Model of Emergency Evacuation Guidance in the Metro Stations of China</t>
  </si>
  <si>
    <t>An Intelligent Scheduling of Non-Critical Patients Admission for Emergency Department</t>
  </si>
  <si>
    <t>Research Issues in Agent-Based Simulation for Pedestrians Evacuation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</si>
</sst>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rgb="FF6AA84F"/>
      <name val="Arial"/>
      <scheme val="minor"/>
    </font>
    <font>
      <color rgb="FFF1C232"/>
      <name val="Arial"/>
      <scheme val="minor"/>
    </font>
    <font>
      <color rgb="FFFF00FF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color theme="8"/>
      <name val="Arial"/>
      <scheme val="minor"/>
    </font>
    <font>
      <color rgb="FF93C47D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1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Camad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ad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dronizaç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ada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adronização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99" displayName="Tabela_1" name="Tabela_1" id="4">
  <autoFilter ref="$A$1:$H$1199">
    <filterColumn colId="4">
      <filters>
        <filter val="✅"/>
      </filters>
    </filterColumn>
    <filterColumn colId="7">
      <filters blank="1"/>
    </filterColumn>
  </autoFilter>
  <tableColumns count="8">
    <tableColumn name="Fonte" id="1"/>
    <tableColumn name="Ano" id="2"/>
    <tableColumn name="Tipo" id="3"/>
    <tableColumn name="Título" id="4"/>
    <tableColumn name="Decisão C1" id="5"/>
    <tableColumn name="Motivo" id="6"/>
    <tableColumn name="Código" id="7"/>
    <tableColumn name="Duplicado" id="8"/>
  </tableColumns>
  <tableStyleInfo name="Camada 1-style" showColumnStripes="0" showFirstColumn="1" showLastColumn="1" showRowStripes="1"/>
</table>
</file>

<file path=xl/tables/table2.xml><?xml version="1.0" encoding="utf-8"?>
<table xmlns="http://schemas.openxmlformats.org/spreadsheetml/2006/main" ref="A1:N274" displayName="Tabela_3" name="Tabela_3" id="2">
  <autoFilter ref="$A$1:$N$274">
    <filterColumn colId="6">
      <filters>
        <filter val="I1"/>
        <filter val="I2"/>
        <filter val="I3"/>
        <filter val="I4"/>
      </filters>
    </filterColumn>
  </autoFilter>
  <tableColumns count="14">
    <tableColumn name="Fonte" id="1"/>
    <tableColumn name="Ano" id="2"/>
    <tableColumn name="Tipo" id="3"/>
    <tableColumn name="Título" id="4"/>
    <tableColumn name="Decisão C1" id="5"/>
    <tableColumn name="Motivo" id="6"/>
    <tableColumn name="Código" id="7"/>
    <tableColumn name="Tipo de Crise" id="8"/>
    <tableColumn name="Escala" id="9"/>
    <tableColumn name="C. Humano" id="10"/>
    <tableColumn name="Ferramenta" id="11"/>
    <tableColumn name="Disponível" id="12"/>
    <tableColumn name="Score" id="13"/>
    <tableColumn name="Prioridade" id="14"/>
  </tableColumns>
  <tableStyleInfo name="Camada 2-style" showColumnStripes="0" showFirstColumn="1" showLastColumn="1" showRowStripes="1"/>
</table>
</file>

<file path=xl/tables/table3.xml><?xml version="1.0" encoding="utf-8"?>
<table xmlns="http://schemas.openxmlformats.org/spreadsheetml/2006/main" ref="A1:Q21" displayName="Tabela_4" name="Tabela_4" id="3">
  <autoFilter ref="$A$1:$Q$21">
    <filterColumn colId="7">
      <filters>
        <filter val="Enchente"/>
      </filters>
    </filterColumn>
  </autoFilter>
  <tableColumns count="17">
    <tableColumn name="Fonte" id="1"/>
    <tableColumn name="Ano" id="2"/>
    <tableColumn name="Tipo" id="3"/>
    <tableColumn name="Título" id="4"/>
    <tableColumn name="Decisão C1" id="5"/>
    <tableColumn name="Motivo" id="6"/>
    <tableColumn name="Código" id="7"/>
    <tableColumn name="Tipo de Crise" id="8"/>
    <tableColumn name="Escala" id="9"/>
    <tableColumn name="C. Humano" id="10"/>
    <tableColumn name="Ferramenta" id="11"/>
    <tableColumn name="Disponível" id="12"/>
    <tableColumn name="Score" id="13"/>
    <tableColumn name="Prioridade" id="14"/>
    <tableColumn name="Leitura Completa" id="15"/>
    <tableColumn name="Motivo Exclusão" id="16"/>
    <tableColumn name="Incluir" id="17"/>
  </tableColumns>
  <tableStyleInfo name="Camada 3-style" showColumnStripes="0" showFirstColumn="1" showLastColumn="1" showRowStripes="1"/>
</table>
</file>

<file path=xl/tables/table4.xml><?xml version="1.0" encoding="utf-8"?>
<table xmlns="http://schemas.openxmlformats.org/spreadsheetml/2006/main" ref="A1:C16" displayName="Tabela_2" name="Tabela_2" id="1">
  <tableColumns count="3">
    <tableColumn name="Código" id="1"/>
    <tableColumn name="Decisão" id="2"/>
    <tableColumn name="Motivo padronizado" id="3"/>
  </tableColumns>
  <tableStyleInfo name="Padronização-style" showColumnStripes="0" showFirstColumn="1" showLastColumn="1" showRowStripes="1"/>
</table>
</file>

<file path=xl/tables/table5.xml><?xml version="1.0" encoding="utf-8"?>
<table xmlns="http://schemas.openxmlformats.org/spreadsheetml/2006/main" headerRowCount="0" ref="B19:D19" displayName="Table_1" name="Table_1" id="5">
  <tableColumns count="3">
    <tableColumn name="Column1" id="1"/>
    <tableColumn name="Column2" id="2"/>
    <tableColumn name="Column3" id="3"/>
  </tableColumns>
  <tableStyleInfo name="Padronizaçã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5"/>
    <col customWidth="1" min="4" max="4" width="114.0"/>
    <col customWidth="1" min="5" max="5" width="16.88"/>
    <col customWidth="1" min="6" max="6" width="64.0"/>
    <col customWidth="1" min="8" max="8" width="25.75"/>
  </cols>
  <sheetData>
    <row r="1" ht="22.5" customHeight="1">
      <c r="A1" s="2" t="s">
        <v>1</v>
      </c>
      <c r="B1" s="2" t="s">
        <v>4</v>
      </c>
      <c r="C1" s="2" t="s">
        <v>6</v>
      </c>
      <c r="D1" s="2" t="s">
        <v>7</v>
      </c>
      <c r="E1" s="2" t="s">
        <v>9</v>
      </c>
      <c r="F1" s="2" t="s">
        <v>11</v>
      </c>
      <c r="G1" s="5" t="s">
        <v>0</v>
      </c>
      <c r="H1" s="5" t="s">
        <v>59</v>
      </c>
    </row>
    <row r="2" ht="22.5" hidden="1" customHeight="1">
      <c r="A2" s="13" t="s">
        <v>30</v>
      </c>
      <c r="B2" s="13">
        <v>2026.0</v>
      </c>
      <c r="C2" s="13" t="s">
        <v>33</v>
      </c>
      <c r="D2" s="13" t="s">
        <v>62</v>
      </c>
      <c r="E2" s="4" t="str">
        <f>IFERROR(VLOOKUP(G2, 'Padronização'!A:C, 2, FALSE), "")</f>
        <v>❌</v>
      </c>
      <c r="F2" s="6" t="str">
        <f>IFERROR(VLOOKUP(G2, 'Padronização'!A:C, 3, FALSE), "")</f>
        <v>Energia, grid, V2G; crise tratada como operação técnica</v>
      </c>
      <c r="G2" s="15" t="s">
        <v>12</v>
      </c>
      <c r="H2" s="16"/>
    </row>
    <row r="3" ht="22.5" customHeight="1">
      <c r="A3" s="13" t="s">
        <v>30</v>
      </c>
      <c r="B3" s="13">
        <v>2026.0</v>
      </c>
      <c r="C3" s="13" t="s">
        <v>33</v>
      </c>
      <c r="D3" s="13" t="s">
        <v>63</v>
      </c>
      <c r="E3" s="13" t="s">
        <v>37</v>
      </c>
      <c r="F3" s="6" t="str">
        <f>IFERROR(VLOOKUP(G3, 'Padronização'!A:C, 3, FALSE), "")</f>
        <v>ABM/MAS focado em comportamento humano cognitivo</v>
      </c>
      <c r="G3" s="17" t="s">
        <v>47</v>
      </c>
      <c r="H3" s="19"/>
    </row>
    <row r="4" ht="22.5" hidden="1" customHeight="1">
      <c r="A4" s="4" t="s">
        <v>30</v>
      </c>
      <c r="B4" s="4">
        <v>2026.0</v>
      </c>
      <c r="C4" s="4" t="s">
        <v>33</v>
      </c>
      <c r="D4" s="4" t="s">
        <v>69</v>
      </c>
      <c r="E4" s="4" t="s">
        <v>41</v>
      </c>
      <c r="F4" s="6" t="str">
        <f>IFERROR(VLOOKUP(G4, 'Padronização'!A:C, 3, FALSE), "")</f>
        <v>Emergência sem evacuação clara</v>
      </c>
      <c r="G4" s="17" t="s">
        <v>43</v>
      </c>
      <c r="H4" s="19"/>
    </row>
    <row r="5" ht="22.5" hidden="1" customHeight="1">
      <c r="A5" s="4" t="s">
        <v>30</v>
      </c>
      <c r="B5" s="4">
        <v>2026.0</v>
      </c>
      <c r="C5" s="4" t="s">
        <v>33</v>
      </c>
      <c r="D5" s="4" t="s">
        <v>71</v>
      </c>
      <c r="E5" s="4" t="s">
        <v>8</v>
      </c>
      <c r="F5" s="6" t="str">
        <f>IFERROR(VLOOKUP(G5, 'Padronização'!A:C, 3, FALSE), "")</f>
        <v>Emergência em saúde com foco operacional / Operação hospitalar</v>
      </c>
      <c r="G5" s="20" t="s">
        <v>38</v>
      </c>
      <c r="H5" s="19"/>
    </row>
    <row r="6" ht="22.5" customHeight="1">
      <c r="A6" s="4" t="s">
        <v>30</v>
      </c>
      <c r="B6" s="4">
        <v>2026.0</v>
      </c>
      <c r="C6" s="4" t="s">
        <v>33</v>
      </c>
      <c r="D6" s="4" t="s">
        <v>35</v>
      </c>
      <c r="E6" s="4" t="s">
        <v>37</v>
      </c>
      <c r="F6" s="6" t="str">
        <f>IFERROR(VLOOKUP(G6, 'Padronização'!A:C, 3, FALSE), "")</f>
        <v>ABM/MAS focado em comportamento humano cognitivo</v>
      </c>
      <c r="G6" s="17" t="s">
        <v>47</v>
      </c>
      <c r="H6" s="19"/>
    </row>
    <row r="7" ht="22.5" customHeight="1">
      <c r="A7" s="4" t="s">
        <v>30</v>
      </c>
      <c r="B7" s="4">
        <v>2026.0</v>
      </c>
      <c r="C7" s="4" t="s">
        <v>33</v>
      </c>
      <c r="D7" s="4" t="s">
        <v>74</v>
      </c>
      <c r="E7" s="4" t="s">
        <v>37</v>
      </c>
      <c r="F7" s="6" t="str">
        <f>IFERROR(VLOOKUP(G7, 'Padronização'!A:C, 3, FALSE), "")</f>
        <v>ABM/MAS aplicado à evacuação</v>
      </c>
      <c r="G7" s="17" t="s">
        <v>45</v>
      </c>
      <c r="H7" s="19"/>
    </row>
    <row r="8" ht="22.5" customHeight="1">
      <c r="A8" s="4" t="s">
        <v>30</v>
      </c>
      <c r="B8" s="4">
        <v>2026.0</v>
      </c>
      <c r="C8" s="4" t="s">
        <v>33</v>
      </c>
      <c r="D8" s="4" t="s">
        <v>64</v>
      </c>
      <c r="E8" s="4" t="s">
        <v>37</v>
      </c>
      <c r="F8" s="6" t="str">
        <f>IFERROR(VLOOKUP(G8, 'Padronização'!A:C, 3, FALSE), "")</f>
        <v>ABM/MAS focado em comportamento humano cognitivo</v>
      </c>
      <c r="G8" s="17" t="s">
        <v>47</v>
      </c>
      <c r="H8" s="19"/>
    </row>
    <row r="9" ht="22.5" customHeight="1">
      <c r="A9" s="4" t="s">
        <v>30</v>
      </c>
      <c r="B9" s="4">
        <v>2026.0</v>
      </c>
      <c r="C9" s="4" t="s">
        <v>33</v>
      </c>
      <c r="D9" s="4" t="s">
        <v>76</v>
      </c>
      <c r="E9" s="4" t="s">
        <v>37</v>
      </c>
      <c r="F9" s="6" t="str">
        <f>IFERROR(VLOOKUP(G9, 'Padronização'!A:C, 3, FALSE), "")</f>
        <v>ABM/MAS aplicado à evacuação</v>
      </c>
      <c r="G9" s="17" t="s">
        <v>45</v>
      </c>
      <c r="H9" s="19"/>
    </row>
    <row r="10" ht="22.5" customHeight="1">
      <c r="A10" s="4" t="s">
        <v>30</v>
      </c>
      <c r="B10" s="4">
        <v>2026.0</v>
      </c>
      <c r="C10" s="4" t="s">
        <v>33</v>
      </c>
      <c r="D10" s="4" t="s">
        <v>78</v>
      </c>
      <c r="E10" s="4" t="s">
        <v>37</v>
      </c>
      <c r="F10" s="6" t="str">
        <f>IFERROR(VLOOKUP(G10, 'Padronização'!A:C, 3, FALSE), "")</f>
        <v>ABM/MAS aplicado à evacuação</v>
      </c>
      <c r="G10" s="17" t="s">
        <v>45</v>
      </c>
      <c r="H10" s="19"/>
    </row>
    <row r="11" ht="22.5" hidden="1" customHeight="1">
      <c r="A11" s="4" t="s">
        <v>30</v>
      </c>
      <c r="B11" s="4">
        <v>2026.0</v>
      </c>
      <c r="C11" s="4" t="s">
        <v>33</v>
      </c>
      <c r="D11" s="4" t="s">
        <v>81</v>
      </c>
      <c r="E11" s="4" t="s">
        <v>41</v>
      </c>
      <c r="F11" s="6" t="str">
        <f>IFERROR(VLOOKUP(G11, 'Padronização'!A:C, 3, FALSE), "")</f>
        <v>Crise explícita com foco em infraestrutura</v>
      </c>
      <c r="G11" s="17" t="s">
        <v>40</v>
      </c>
      <c r="H11" s="19"/>
    </row>
    <row r="12" ht="22.5" hidden="1" customHeight="1">
      <c r="A12" s="4" t="s">
        <v>30</v>
      </c>
      <c r="B12" s="4">
        <v>2026.0</v>
      </c>
      <c r="C12" s="4" t="s">
        <v>33</v>
      </c>
      <c r="D12" s="4" t="s">
        <v>84</v>
      </c>
      <c r="E12" s="4" t="s">
        <v>8</v>
      </c>
      <c r="F12" s="6" t="str">
        <f>IFERROR(VLOOKUP(G12, 'Padronização'!A:C, 3, FALSE), "")</f>
        <v>Não aborda cenário de crise ou desastre</v>
      </c>
      <c r="G12" s="17" t="s">
        <v>31</v>
      </c>
      <c r="H12" s="19"/>
    </row>
    <row r="13" ht="22.5" customHeight="1">
      <c r="A13" s="4" t="s">
        <v>30</v>
      </c>
      <c r="B13" s="4">
        <v>2026.0</v>
      </c>
      <c r="C13" s="4" t="s">
        <v>33</v>
      </c>
      <c r="D13" s="4" t="s">
        <v>85</v>
      </c>
      <c r="E13" s="4" t="s">
        <v>37</v>
      </c>
      <c r="F13" s="6" t="str">
        <f>IFERROR(VLOOKUP(G13, 'Padronização'!A:C, 3, FALSE), "")</f>
        <v>ABM/MAS aplicado à evacuação</v>
      </c>
      <c r="G13" s="17" t="s">
        <v>45</v>
      </c>
      <c r="H13" s="19"/>
    </row>
    <row r="14" ht="22.5" hidden="1" customHeight="1">
      <c r="A14" s="4" t="s">
        <v>30</v>
      </c>
      <c r="B14" s="4">
        <v>2026.0</v>
      </c>
      <c r="C14" s="4" t="s">
        <v>87</v>
      </c>
      <c r="D14" s="4" t="s">
        <v>88</v>
      </c>
      <c r="E14" s="4" t="s">
        <v>41</v>
      </c>
      <c r="F14" s="6" t="str">
        <f>IFERROR(VLOOKUP(G14, 'Padronização'!A:C, 3, FALSE), "")</f>
        <v>Emergência sem evacuação clara</v>
      </c>
      <c r="G14" s="17" t="s">
        <v>43</v>
      </c>
      <c r="H14" s="19"/>
    </row>
    <row r="15" ht="22.5" customHeight="1">
      <c r="A15" s="4" t="s">
        <v>30</v>
      </c>
      <c r="B15" s="4">
        <v>2026.0</v>
      </c>
      <c r="C15" s="4" t="s">
        <v>87</v>
      </c>
      <c r="D15" s="4" t="s">
        <v>89</v>
      </c>
      <c r="E15" s="4" t="s">
        <v>37</v>
      </c>
      <c r="F15" s="6" t="str">
        <f>IFERROR(VLOOKUP(G15, 'Padronização'!A:C, 3, FALSE), "")</f>
        <v>ABM/MAS focado em comportamento humano cognitivo</v>
      </c>
      <c r="G15" s="17" t="s">
        <v>47</v>
      </c>
      <c r="H15" s="19"/>
    </row>
    <row r="16" ht="22.5" hidden="1" customHeight="1">
      <c r="A16" s="4" t="s">
        <v>30</v>
      </c>
      <c r="B16" s="4">
        <v>2026.0</v>
      </c>
      <c r="C16" s="4" t="s">
        <v>33</v>
      </c>
      <c r="D16" s="4" t="s">
        <v>91</v>
      </c>
      <c r="E16" s="4" t="s">
        <v>41</v>
      </c>
      <c r="F16" s="6" t="str">
        <f>IFERROR(VLOOKUP(G16, 'Padronização'!A:C, 3, FALSE), "")</f>
        <v>Crise explícita com foco em infraestrutura</v>
      </c>
      <c r="G16" s="17" t="s">
        <v>40</v>
      </c>
      <c r="H16" s="19"/>
    </row>
    <row r="17" ht="22.5" hidden="1" customHeight="1">
      <c r="A17" s="4" t="s">
        <v>30</v>
      </c>
      <c r="B17" s="4">
        <v>2026.0</v>
      </c>
      <c r="C17" s="4" t="s">
        <v>33</v>
      </c>
      <c r="D17" s="4" t="s">
        <v>93</v>
      </c>
      <c r="E17" s="4" t="s">
        <v>41</v>
      </c>
      <c r="F17" s="6" t="str">
        <f>IFERROR(VLOOKUP(G17, 'Padronização'!A:C, 3, FALSE), "")</f>
        <v>Emergência sem evacuação clara</v>
      </c>
      <c r="G17" s="17" t="s">
        <v>43</v>
      </c>
      <c r="H17" s="19"/>
    </row>
    <row r="18" ht="22.5" hidden="1" customHeight="1">
      <c r="A18" s="4" t="s">
        <v>30</v>
      </c>
      <c r="B18" s="4">
        <v>2026.0</v>
      </c>
      <c r="C18" s="4" t="s">
        <v>33</v>
      </c>
      <c r="D18" s="4" t="s">
        <v>96</v>
      </c>
      <c r="E18" s="4" t="s">
        <v>41</v>
      </c>
      <c r="F18" s="6" t="str">
        <f>IFERROR(VLOOKUP(G18, 'Padronização'!A:C, 3, FALSE), "")</f>
        <v>Emergência sem evacuação clara</v>
      </c>
      <c r="G18" s="17" t="s">
        <v>43</v>
      </c>
      <c r="H18" s="19"/>
    </row>
    <row r="19" ht="22.5" hidden="1" customHeight="1">
      <c r="A19" s="4" t="s">
        <v>30</v>
      </c>
      <c r="B19" s="4">
        <v>2026.0</v>
      </c>
      <c r="C19" s="4" t="s">
        <v>87</v>
      </c>
      <c r="D19" s="4" t="s">
        <v>98</v>
      </c>
      <c r="E19" s="4" t="s">
        <v>8</v>
      </c>
      <c r="F19" s="6" t="str">
        <f>IFERROR(VLOOKUP(G19, 'Padronização'!A:C, 3, FALSE), "")</f>
        <v>Artigo metodológico genérico (framework, design, how-to)</v>
      </c>
      <c r="G19" s="17" t="s">
        <v>27</v>
      </c>
      <c r="H19" s="19"/>
    </row>
    <row r="20" ht="22.5" hidden="1" customHeight="1">
      <c r="A20" s="4" t="s">
        <v>30</v>
      </c>
      <c r="B20" s="4">
        <v>2026.0</v>
      </c>
      <c r="C20" s="4" t="s">
        <v>33</v>
      </c>
      <c r="D20" s="4" t="s">
        <v>99</v>
      </c>
      <c r="E20" s="4" t="s">
        <v>8</v>
      </c>
      <c r="F20" s="6" t="str">
        <f>IFERROR(VLOOKUP(G20, 'Padronização'!A:C, 3, FALSE), "")</f>
        <v>Não aborda cenário de crise ou desastre</v>
      </c>
      <c r="G20" s="17" t="s">
        <v>31</v>
      </c>
      <c r="H20" s="19"/>
    </row>
    <row r="21" ht="22.5" hidden="1" customHeight="1">
      <c r="A21" s="4" t="s">
        <v>30</v>
      </c>
      <c r="B21" s="4">
        <v>2026.0</v>
      </c>
      <c r="C21" s="4" t="s">
        <v>33</v>
      </c>
      <c r="D21" s="4" t="s">
        <v>101</v>
      </c>
      <c r="E21" s="4" t="s">
        <v>8</v>
      </c>
      <c r="F21" s="6" t="str">
        <f>IFERROR(VLOOKUP(G21, 'Padronização'!A:C, 3, FALSE), "")</f>
        <v>Não aborda cenário de crise ou desastre</v>
      </c>
      <c r="G21" s="17" t="s">
        <v>31</v>
      </c>
      <c r="H21" s="19"/>
    </row>
    <row r="22" ht="22.5" hidden="1" customHeight="1">
      <c r="A22" s="4" t="s">
        <v>30</v>
      </c>
      <c r="B22" s="4">
        <v>2026.0</v>
      </c>
      <c r="C22" s="4" t="s">
        <v>33</v>
      </c>
      <c r="D22" s="4" t="s">
        <v>103</v>
      </c>
      <c r="E22" s="4" t="s">
        <v>8</v>
      </c>
      <c r="F22" s="6" t="str">
        <f>IFERROR(VLOOKUP(G22, 'Padronização'!A:C, 3, FALSE), "")</f>
        <v>Emergência em saúde com foco operacional / Operação hospitalar</v>
      </c>
      <c r="G22" s="17" t="s">
        <v>38</v>
      </c>
      <c r="H22" s="19"/>
    </row>
    <row r="23" ht="22.5" hidden="1" customHeight="1">
      <c r="A23" s="4" t="s">
        <v>30</v>
      </c>
      <c r="B23" s="4">
        <v>2026.0</v>
      </c>
      <c r="C23" s="4" t="s">
        <v>87</v>
      </c>
      <c r="D23" s="4" t="s">
        <v>105</v>
      </c>
      <c r="E23" s="4" t="s">
        <v>8</v>
      </c>
      <c r="F23" s="6" t="str">
        <f>IFERROR(VLOOKUP(G23, 'Padronização'!A:C, 3, FALSE), "")</f>
        <v>Não aborda cenário de crise ou desastre</v>
      </c>
      <c r="G23" s="17" t="s">
        <v>31</v>
      </c>
      <c r="H23" s="19"/>
    </row>
    <row r="24" ht="22.5" hidden="1" customHeight="1">
      <c r="A24" s="4" t="s">
        <v>30</v>
      </c>
      <c r="B24" s="4">
        <v>2026.0</v>
      </c>
      <c r="C24" s="4" t="s">
        <v>33</v>
      </c>
      <c r="D24" s="4" t="s">
        <v>107</v>
      </c>
      <c r="E24" s="4" t="s">
        <v>41</v>
      </c>
      <c r="F24" s="6" t="str">
        <f>IFERROR(VLOOKUP(G24, 'Padronização'!A:C, 3, FALSE), "")</f>
        <v>Emergência sem evacuação clara</v>
      </c>
      <c r="G24" s="17" t="s">
        <v>43</v>
      </c>
      <c r="H24" s="19"/>
    </row>
    <row r="25" ht="22.5" hidden="1" customHeight="1">
      <c r="A25" s="4" t="s">
        <v>30</v>
      </c>
      <c r="B25" s="4">
        <v>2026.0</v>
      </c>
      <c r="C25" s="4" t="s">
        <v>33</v>
      </c>
      <c r="D25" s="4" t="s">
        <v>109</v>
      </c>
      <c r="E25" s="4" t="s">
        <v>41</v>
      </c>
      <c r="F25" s="6" t="str">
        <f>IFERROR(VLOOKUP(G25, 'Padronização'!A:C, 3, FALSE), "")</f>
        <v>Emergência sem evacuação clara</v>
      </c>
      <c r="G25" s="17" t="s">
        <v>43</v>
      </c>
      <c r="H25" s="19"/>
    </row>
    <row r="26" ht="22.5" hidden="1" customHeight="1">
      <c r="A26" s="4" t="s">
        <v>30</v>
      </c>
      <c r="B26" s="4">
        <v>2026.0</v>
      </c>
      <c r="C26" s="4" t="s">
        <v>33</v>
      </c>
      <c r="D26" s="4" t="s">
        <v>111</v>
      </c>
      <c r="E26" s="4" t="s">
        <v>8</v>
      </c>
      <c r="F26" s="6" t="str">
        <f>IFERROR(VLOOKUP(G26, 'Padronização'!A:C, 3, FALSE), "")</f>
        <v>Emergência em saúde com foco operacional / Operação hospitalar</v>
      </c>
      <c r="G26" s="17" t="s">
        <v>38</v>
      </c>
      <c r="H26" s="19"/>
    </row>
    <row r="27" ht="22.5" hidden="1" customHeight="1">
      <c r="A27" s="4" t="s">
        <v>30</v>
      </c>
      <c r="B27" s="4">
        <v>2026.0</v>
      </c>
      <c r="C27" s="4" t="s">
        <v>87</v>
      </c>
      <c r="D27" s="4" t="s">
        <v>113</v>
      </c>
      <c r="E27" s="4" t="s">
        <v>8</v>
      </c>
      <c r="F27" s="6" t="str">
        <f>IFERROR(VLOOKUP(G27, 'Padronização'!A:C, 3, FALSE), "")</f>
        <v>Não aborda cenário de crise ou desastre</v>
      </c>
      <c r="G27" s="17" t="s">
        <v>31</v>
      </c>
      <c r="H27" s="19"/>
    </row>
    <row r="28" ht="22.5" hidden="1" customHeight="1">
      <c r="A28" s="4" t="s">
        <v>30</v>
      </c>
      <c r="B28" s="4">
        <v>2026.0</v>
      </c>
      <c r="C28" s="4" t="s">
        <v>33</v>
      </c>
      <c r="D28" s="4" t="s">
        <v>114</v>
      </c>
      <c r="E28" s="4" t="s">
        <v>41</v>
      </c>
      <c r="F28" s="6" t="str">
        <f>IFERROR(VLOOKUP(G28, 'Padronização'!A:C, 3, FALSE), "")</f>
        <v>Emergência sem evacuação clara</v>
      </c>
      <c r="G28" s="17" t="s">
        <v>43</v>
      </c>
      <c r="H28" s="19"/>
    </row>
    <row r="29" ht="22.5" hidden="1" customHeight="1">
      <c r="A29" s="4" t="s">
        <v>30</v>
      </c>
      <c r="B29" s="4">
        <v>2026.0</v>
      </c>
      <c r="C29" s="4" t="s">
        <v>33</v>
      </c>
      <c r="D29" s="4" t="s">
        <v>117</v>
      </c>
      <c r="E29" s="4" t="s">
        <v>8</v>
      </c>
      <c r="F29" s="6" t="str">
        <f>IFERROR(VLOOKUP(G29, 'Padronização'!A:C, 3, FALSE), "")</f>
        <v>Não aborda cenário de crise ou desastre</v>
      </c>
      <c r="G29" s="17" t="s">
        <v>31</v>
      </c>
      <c r="H29" s="19"/>
    </row>
    <row r="30" ht="22.5" hidden="1" customHeight="1">
      <c r="A30" s="4" t="s">
        <v>30</v>
      </c>
      <c r="B30" s="4">
        <v>2026.0</v>
      </c>
      <c r="C30" s="4" t="s">
        <v>87</v>
      </c>
      <c r="D30" s="4" t="s">
        <v>118</v>
      </c>
      <c r="E30" s="4" t="s">
        <v>41</v>
      </c>
      <c r="F30" s="6" t="str">
        <f>IFERROR(VLOOKUP(G30, 'Padronização'!A:C, 3, FALSE), "")</f>
        <v>Emergência sem evacuação clara</v>
      </c>
      <c r="G30" s="17" t="s">
        <v>43</v>
      </c>
      <c r="H30" s="19"/>
    </row>
    <row r="31" ht="22.5" hidden="1" customHeight="1">
      <c r="A31" s="4" t="s">
        <v>30</v>
      </c>
      <c r="B31" s="4">
        <v>2026.0</v>
      </c>
      <c r="C31" s="4" t="s">
        <v>33</v>
      </c>
      <c r="D31" s="4" t="s">
        <v>120</v>
      </c>
      <c r="E31" s="4" t="s">
        <v>8</v>
      </c>
      <c r="F31" s="6" t="str">
        <f>IFERROR(VLOOKUP(G31, 'Padronização'!A:C, 3, FALSE), "")</f>
        <v>Não aborda cenário de crise ou desastre</v>
      </c>
      <c r="G31" s="17" t="s">
        <v>31</v>
      </c>
      <c r="H31" s="19"/>
    </row>
    <row r="32" ht="22.5" hidden="1" customHeight="1">
      <c r="A32" s="4" t="s">
        <v>30</v>
      </c>
      <c r="B32" s="4">
        <v>2026.0</v>
      </c>
      <c r="C32" s="4" t="s">
        <v>33</v>
      </c>
      <c r="D32" s="4" t="s">
        <v>121</v>
      </c>
      <c r="E32" s="4" t="s">
        <v>8</v>
      </c>
      <c r="F32" s="6" t="str">
        <f>IFERROR(VLOOKUP(G32, 'Padronização'!A:C, 3, FALSE), "")</f>
        <v>Telecomunicações emergenciais / alocação de rede; foco técnico</v>
      </c>
      <c r="G32" s="17" t="s">
        <v>5</v>
      </c>
      <c r="H32" s="19"/>
    </row>
    <row r="33" ht="22.5" hidden="1" customHeight="1">
      <c r="A33" s="4" t="s">
        <v>30</v>
      </c>
      <c r="B33" s="4">
        <v>2026.0</v>
      </c>
      <c r="C33" s="4" t="s">
        <v>33</v>
      </c>
      <c r="D33" s="4" t="s">
        <v>123</v>
      </c>
      <c r="E33" s="4" t="s">
        <v>41</v>
      </c>
      <c r="F33" s="6" t="str">
        <f>IFERROR(VLOOKUP(G33, 'Padronização'!A:C, 3, FALSE), "")</f>
        <v>Emergência sem evacuação clara</v>
      </c>
      <c r="G33" s="17" t="s">
        <v>43</v>
      </c>
      <c r="H33" s="19"/>
    </row>
    <row r="34" ht="22.5" hidden="1" customHeight="1">
      <c r="A34" s="4" t="s">
        <v>30</v>
      </c>
      <c r="B34" s="4">
        <v>2026.0</v>
      </c>
      <c r="C34" s="4" t="s">
        <v>33</v>
      </c>
      <c r="D34" s="4" t="s">
        <v>126</v>
      </c>
      <c r="E34" s="4" t="s">
        <v>8</v>
      </c>
      <c r="F34" s="6" t="str">
        <f>IFERROR(VLOOKUP(G34, 'Padronização'!A:C, 3, FALSE), "")</f>
        <v>Não aborda cenário de crise ou desastre</v>
      </c>
      <c r="G34" s="17" t="s">
        <v>31</v>
      </c>
      <c r="H34" s="19"/>
    </row>
    <row r="35" ht="22.5" hidden="1" customHeight="1">
      <c r="A35" s="4" t="s">
        <v>30</v>
      </c>
      <c r="B35" s="4">
        <v>2026.0</v>
      </c>
      <c r="C35" s="4" t="s">
        <v>33</v>
      </c>
      <c r="D35" s="4" t="s">
        <v>128</v>
      </c>
      <c r="E35" s="4" t="s">
        <v>8</v>
      </c>
      <c r="F35" s="6" t="str">
        <f>IFERROR(VLOOKUP(G35, 'Padronização'!A:C, 3, FALSE), "")</f>
        <v>Não aborda cenário de crise ou desastre</v>
      </c>
      <c r="G35" s="17" t="s">
        <v>31</v>
      </c>
      <c r="H35" s="19"/>
    </row>
    <row r="36" ht="22.5" hidden="1" customHeight="1">
      <c r="A36" s="4" t="s">
        <v>30</v>
      </c>
      <c r="B36" s="4">
        <v>2026.0</v>
      </c>
      <c r="C36" s="4" t="s">
        <v>33</v>
      </c>
      <c r="D36" s="4" t="s">
        <v>130</v>
      </c>
      <c r="E36" s="4" t="s">
        <v>8</v>
      </c>
      <c r="F36" s="6" t="str">
        <f>IFERROR(VLOOKUP(G36, 'Padronização'!A:C, 3, FALSE), "")</f>
        <v>Não aborda cenário de crise ou desastre</v>
      </c>
      <c r="G36" s="17" t="s">
        <v>31</v>
      </c>
      <c r="H36" s="19"/>
    </row>
    <row r="37" ht="22.5" hidden="1" customHeight="1">
      <c r="A37" s="4" t="s">
        <v>30</v>
      </c>
      <c r="B37" s="4">
        <v>2025.0</v>
      </c>
      <c r="C37" s="4" t="s">
        <v>87</v>
      </c>
      <c r="D37" s="4" t="s">
        <v>131</v>
      </c>
      <c r="E37" s="4" t="s">
        <v>8</v>
      </c>
      <c r="F37" s="6" t="str">
        <f>IFERROR(VLOOKUP(G37, 'Padronização'!A:C, 3, FALSE), "")</f>
        <v>Não aborda cenário de crise ou desastre</v>
      </c>
      <c r="G37" s="17" t="s">
        <v>31</v>
      </c>
      <c r="H37" s="19"/>
    </row>
    <row r="38" ht="22.5" hidden="1" customHeight="1">
      <c r="A38" s="4" t="s">
        <v>30</v>
      </c>
      <c r="B38" s="4">
        <v>2025.0</v>
      </c>
      <c r="C38" s="4" t="s">
        <v>33</v>
      </c>
      <c r="D38" s="4" t="s">
        <v>133</v>
      </c>
      <c r="E38" s="4" t="s">
        <v>8</v>
      </c>
      <c r="F38" s="6" t="str">
        <f>IFERROR(VLOOKUP(G38, 'Padronização'!A:C, 3, FALSE), "")</f>
        <v>Não aborda cenário de crise ou desastre</v>
      </c>
      <c r="G38" s="17" t="s">
        <v>31</v>
      </c>
      <c r="H38" s="19"/>
    </row>
    <row r="39" ht="22.5" hidden="1" customHeight="1">
      <c r="A39" s="4" t="s">
        <v>30</v>
      </c>
      <c r="B39" s="4">
        <v>2025.0</v>
      </c>
      <c r="C39" s="4" t="s">
        <v>33</v>
      </c>
      <c r="D39" s="4" t="s">
        <v>134</v>
      </c>
      <c r="E39" s="4" t="s">
        <v>8</v>
      </c>
      <c r="F39" s="6" t="str">
        <f>IFERROR(VLOOKUP(G39, 'Padronização'!A:C, 3, FALSE), "")</f>
        <v>Não aborda cenário de crise ou desastre</v>
      </c>
      <c r="G39" s="17" t="s">
        <v>31</v>
      </c>
      <c r="H39" s="19"/>
    </row>
    <row r="40" ht="22.5" hidden="1" customHeight="1">
      <c r="A40" s="4" t="s">
        <v>30</v>
      </c>
      <c r="B40" s="4">
        <v>2025.0</v>
      </c>
      <c r="C40" s="4" t="s">
        <v>33</v>
      </c>
      <c r="D40" s="4" t="s">
        <v>136</v>
      </c>
      <c r="E40" s="4" t="s">
        <v>8</v>
      </c>
      <c r="F40" s="6" t="str">
        <f>IFERROR(VLOOKUP(G40, 'Padronização'!A:C, 3, FALSE), "")</f>
        <v>Transporte / tráfego em operação normal</v>
      </c>
      <c r="G40" s="17" t="s">
        <v>19</v>
      </c>
      <c r="H40" s="19"/>
    </row>
    <row r="41" ht="22.5" customHeight="1">
      <c r="A41" s="4" t="s">
        <v>30</v>
      </c>
      <c r="B41" s="4">
        <v>2025.0</v>
      </c>
      <c r="C41" s="4" t="s">
        <v>33</v>
      </c>
      <c r="D41" s="4" t="s">
        <v>138</v>
      </c>
      <c r="E41" s="4" t="s">
        <v>37</v>
      </c>
      <c r="F41" s="6" t="str">
        <f>IFERROR(VLOOKUP(G41, 'Padronização'!A:C, 3, FALSE), "")</f>
        <v>ABM/MAS aplicado à evacuação</v>
      </c>
      <c r="G41" s="17" t="s">
        <v>45</v>
      </c>
      <c r="H41" s="19"/>
    </row>
    <row r="42" ht="22.5" customHeight="1">
      <c r="A42" s="4" t="s">
        <v>30</v>
      </c>
      <c r="B42" s="4">
        <v>2025.0</v>
      </c>
      <c r="C42" s="4" t="s">
        <v>33</v>
      </c>
      <c r="D42" s="4" t="s">
        <v>72</v>
      </c>
      <c r="E42" s="4" t="s">
        <v>37</v>
      </c>
      <c r="F42" s="6" t="str">
        <f>IFERROR(VLOOKUP(G42, 'Padronização'!A:C, 3, FALSE), "")</f>
        <v>ABM/MAS focado em comportamento humano cognitivo</v>
      </c>
      <c r="G42" s="17" t="s">
        <v>47</v>
      </c>
      <c r="H42" s="19"/>
    </row>
    <row r="43" ht="22.5" hidden="1" customHeight="1">
      <c r="A43" s="4" t="s">
        <v>30</v>
      </c>
      <c r="B43" s="4">
        <v>2025.0</v>
      </c>
      <c r="C43" s="4" t="s">
        <v>33</v>
      </c>
      <c r="D43" s="4" t="s">
        <v>140</v>
      </c>
      <c r="E43" s="4" t="s">
        <v>41</v>
      </c>
      <c r="F43" s="6" t="str">
        <f>IFERROR(VLOOKUP(G43, 'Padronização'!A:C, 3, FALSE), "")</f>
        <v>Emergência sem evacuação clara</v>
      </c>
      <c r="G43" s="17" t="s">
        <v>43</v>
      </c>
      <c r="H43" s="19"/>
    </row>
    <row r="44" ht="22.5" customHeight="1">
      <c r="A44" s="4" t="s">
        <v>30</v>
      </c>
      <c r="B44" s="4">
        <v>2025.0</v>
      </c>
      <c r="C44" s="4" t="s">
        <v>33</v>
      </c>
      <c r="D44" s="4" t="s">
        <v>75</v>
      </c>
      <c r="E44" s="4" t="s">
        <v>37</v>
      </c>
      <c r="F44" s="6" t="str">
        <f>IFERROR(VLOOKUP(G44, 'Padronização'!A:C, 3, FALSE), "")</f>
        <v>ABM/MAS focado em comportamento humano cognitivo</v>
      </c>
      <c r="G44" s="17" t="s">
        <v>47</v>
      </c>
      <c r="H44" s="19"/>
    </row>
    <row r="45" ht="22.5" hidden="1" customHeight="1">
      <c r="A45" s="4" t="s">
        <v>30</v>
      </c>
      <c r="B45" s="4">
        <v>2025.0</v>
      </c>
      <c r="C45" s="4" t="s">
        <v>33</v>
      </c>
      <c r="D45" s="4" t="s">
        <v>142</v>
      </c>
      <c r="E45" s="4" t="s">
        <v>8</v>
      </c>
      <c r="F45" s="6" t="str">
        <f>IFERROR(VLOOKUP(G45, 'Padronização'!A:C, 3, FALSE), "")</f>
        <v>Não aborda cenário de crise ou desastre</v>
      </c>
      <c r="G45" s="17" t="s">
        <v>31</v>
      </c>
      <c r="H45" s="19"/>
    </row>
    <row r="46" ht="22.5" hidden="1" customHeight="1">
      <c r="A46" s="4" t="s">
        <v>30</v>
      </c>
      <c r="B46" s="4">
        <v>2025.0</v>
      </c>
      <c r="C46" s="4" t="s">
        <v>33</v>
      </c>
      <c r="D46" s="4" t="s">
        <v>143</v>
      </c>
      <c r="E46" s="4" t="s">
        <v>41</v>
      </c>
      <c r="F46" s="6" t="str">
        <f>IFERROR(VLOOKUP(G46, 'Padronização'!A:C, 3, FALSE), "")</f>
        <v>Emergência sem evacuação clara</v>
      </c>
      <c r="G46" s="17" t="s">
        <v>43</v>
      </c>
      <c r="H46" s="19"/>
    </row>
    <row r="47" ht="22.5" hidden="1" customHeight="1">
      <c r="A47" s="4" t="s">
        <v>30</v>
      </c>
      <c r="B47" s="4">
        <v>2025.0</v>
      </c>
      <c r="C47" s="4" t="s">
        <v>33</v>
      </c>
      <c r="D47" s="4" t="s">
        <v>145</v>
      </c>
      <c r="E47" s="4" t="s">
        <v>8</v>
      </c>
      <c r="F47" s="6" t="str">
        <f>IFERROR(VLOOKUP(G47, 'Padronização'!A:C, 3, FALSE), "")</f>
        <v>Não aborda cenário de crise ou desastre</v>
      </c>
      <c r="G47" s="17" t="s">
        <v>31</v>
      </c>
      <c r="H47" s="19"/>
    </row>
    <row r="48" ht="22.5" hidden="1" customHeight="1">
      <c r="A48" s="4" t="s">
        <v>30</v>
      </c>
      <c r="B48" s="4">
        <v>2025.0</v>
      </c>
      <c r="C48" s="4" t="s">
        <v>33</v>
      </c>
      <c r="D48" s="4" t="s">
        <v>146</v>
      </c>
      <c r="E48" s="4" t="s">
        <v>8</v>
      </c>
      <c r="F48" s="6" t="str">
        <f>IFERROR(VLOOKUP(G48, 'Padronização'!A:C, 3, FALSE), "")</f>
        <v>Telecomunicações emergenciais / alocação de rede; foco técnico</v>
      </c>
      <c r="G48" s="17" t="s">
        <v>5</v>
      </c>
      <c r="H48" s="19"/>
    </row>
    <row r="49" ht="22.5" hidden="1" customHeight="1">
      <c r="A49" s="4" t="s">
        <v>30</v>
      </c>
      <c r="B49" s="4">
        <v>2025.0</v>
      </c>
      <c r="C49" s="4" t="s">
        <v>87</v>
      </c>
      <c r="D49" s="4" t="s">
        <v>147</v>
      </c>
      <c r="E49" s="4" t="s">
        <v>41</v>
      </c>
      <c r="F49" s="6" t="str">
        <f>IFERROR(VLOOKUP(G49, 'Padronização'!A:C, 3, FALSE), "")</f>
        <v>Emergência sem evacuação clara</v>
      </c>
      <c r="G49" s="17" t="s">
        <v>43</v>
      </c>
      <c r="H49" s="19"/>
    </row>
    <row r="50" ht="22.5" customHeight="1">
      <c r="A50" s="4" t="s">
        <v>30</v>
      </c>
      <c r="B50" s="4">
        <v>2025.0</v>
      </c>
      <c r="C50" s="4" t="s">
        <v>33</v>
      </c>
      <c r="D50" s="4" t="s">
        <v>149</v>
      </c>
      <c r="E50" s="4" t="s">
        <v>37</v>
      </c>
      <c r="F50" s="6" t="str">
        <f>IFERROR(VLOOKUP(G50, 'Padronização'!A:C, 3, FALSE), "")</f>
        <v>ABM/MAS aplicado à evacuação</v>
      </c>
      <c r="G50" s="17" t="s">
        <v>45</v>
      </c>
      <c r="H50" s="19"/>
    </row>
    <row r="51" ht="22.5" hidden="1" customHeight="1">
      <c r="A51" s="4" t="s">
        <v>30</v>
      </c>
      <c r="B51" s="4">
        <v>2025.0</v>
      </c>
      <c r="C51" s="4" t="s">
        <v>33</v>
      </c>
      <c r="D51" s="4" t="s">
        <v>150</v>
      </c>
      <c r="E51" s="4" t="s">
        <v>41</v>
      </c>
      <c r="F51" s="6" t="str">
        <f>IFERROR(VLOOKUP(G51, 'Padronização'!A:C, 3, FALSE), "")</f>
        <v>Emergência sem evacuação clara</v>
      </c>
      <c r="G51" s="17" t="s">
        <v>43</v>
      </c>
      <c r="H51" s="19"/>
    </row>
    <row r="52" ht="22.5" customHeight="1">
      <c r="A52" s="4" t="s">
        <v>30</v>
      </c>
      <c r="B52" s="4">
        <v>2025.0</v>
      </c>
      <c r="C52" s="4" t="s">
        <v>33</v>
      </c>
      <c r="D52" s="4" t="s">
        <v>132</v>
      </c>
      <c r="E52" s="4" t="s">
        <v>37</v>
      </c>
      <c r="F52" s="6" t="str">
        <f>IFERROR(VLOOKUP(G52, 'Padronização'!A:C, 3, FALSE), "")</f>
        <v>ABM/MAS aplicado à evacuação</v>
      </c>
      <c r="G52" s="17" t="s">
        <v>45</v>
      </c>
      <c r="H52" s="19"/>
    </row>
    <row r="53" ht="22.5" customHeight="1">
      <c r="A53" s="4" t="s">
        <v>30</v>
      </c>
      <c r="B53" s="4">
        <v>2025.0</v>
      </c>
      <c r="C53" s="4" t="s">
        <v>33</v>
      </c>
      <c r="D53" s="4" t="s">
        <v>135</v>
      </c>
      <c r="E53" s="4" t="s">
        <v>37</v>
      </c>
      <c r="F53" s="6" t="str">
        <f>IFERROR(VLOOKUP(G53, 'Padronização'!A:C, 3, FALSE), "")</f>
        <v>ABM/MAS aplicado à evacuação</v>
      </c>
      <c r="G53" s="17" t="s">
        <v>45</v>
      </c>
      <c r="H53" s="19"/>
    </row>
    <row r="54" ht="22.5" customHeight="1">
      <c r="A54" s="4" t="s">
        <v>30</v>
      </c>
      <c r="B54" s="4">
        <v>2025.0</v>
      </c>
      <c r="C54" s="4" t="s">
        <v>33</v>
      </c>
      <c r="D54" s="4" t="s">
        <v>153</v>
      </c>
      <c r="E54" s="4" t="s">
        <v>37</v>
      </c>
      <c r="F54" s="6" t="str">
        <f>IFERROR(VLOOKUP(G54, 'Padronização'!A:C, 3, FALSE), "")</f>
        <v>ABM/MAS aplicado à evacuação</v>
      </c>
      <c r="G54" s="17" t="s">
        <v>45</v>
      </c>
      <c r="H54" s="19"/>
    </row>
    <row r="55" ht="22.5" customHeight="1">
      <c r="A55" s="4" t="s">
        <v>30</v>
      </c>
      <c r="B55" s="4">
        <v>2025.0</v>
      </c>
      <c r="C55" s="4" t="s">
        <v>33</v>
      </c>
      <c r="D55" s="4" t="s">
        <v>141</v>
      </c>
      <c r="E55" s="4" t="s">
        <v>37</v>
      </c>
      <c r="F55" s="6" t="str">
        <f>IFERROR(VLOOKUP(G55, 'Padronização'!A:C, 3, FALSE), "")</f>
        <v>ABM/MAS aplicado à evacuação</v>
      </c>
      <c r="G55" s="17" t="s">
        <v>45</v>
      </c>
      <c r="H55" s="19"/>
    </row>
    <row r="56" ht="22.5" customHeight="1">
      <c r="A56" s="4" t="s">
        <v>30</v>
      </c>
      <c r="B56" s="4">
        <v>2025.0</v>
      </c>
      <c r="C56" s="4" t="s">
        <v>33</v>
      </c>
      <c r="D56" s="4" t="s">
        <v>144</v>
      </c>
      <c r="E56" s="4" t="s">
        <v>37</v>
      </c>
      <c r="F56" s="6" t="str">
        <f>IFERROR(VLOOKUP(G56, 'Padronização'!A:C, 3, FALSE), "")</f>
        <v>ABM/MAS focado em comportamento humano cognitivo</v>
      </c>
      <c r="G56" s="17" t="s">
        <v>47</v>
      </c>
      <c r="H56" s="19"/>
    </row>
    <row r="57" ht="22.5" hidden="1" customHeight="1">
      <c r="A57" s="4" t="s">
        <v>30</v>
      </c>
      <c r="B57" s="4">
        <v>2025.0</v>
      </c>
      <c r="C57" s="4" t="s">
        <v>33</v>
      </c>
      <c r="D57" s="4" t="s">
        <v>156</v>
      </c>
      <c r="E57" s="4" t="s">
        <v>41</v>
      </c>
      <c r="F57" s="6" t="str">
        <f>IFERROR(VLOOKUP(G57, 'Padronização'!A:C, 3, FALSE), "")</f>
        <v>Emergência sem evacuação clara</v>
      </c>
      <c r="G57" s="17" t="s">
        <v>43</v>
      </c>
      <c r="H57" s="19"/>
    </row>
    <row r="58" ht="22.5" customHeight="1">
      <c r="A58" s="4" t="s">
        <v>30</v>
      </c>
      <c r="B58" s="4">
        <v>2025.0</v>
      </c>
      <c r="C58" s="4" t="s">
        <v>33</v>
      </c>
      <c r="D58" s="4" t="s">
        <v>148</v>
      </c>
      <c r="E58" s="4" t="s">
        <v>37</v>
      </c>
      <c r="F58" s="6" t="str">
        <f>IFERROR(VLOOKUP(G58, 'Padronização'!A:C, 3, FALSE), "")</f>
        <v>ABM/MAS focado em comportamento humano cognitivo</v>
      </c>
      <c r="G58" s="17" t="s">
        <v>47</v>
      </c>
      <c r="H58" s="19"/>
    </row>
    <row r="59" ht="22.5" hidden="1" customHeight="1">
      <c r="A59" s="4" t="s">
        <v>30</v>
      </c>
      <c r="B59" s="4">
        <v>2025.0</v>
      </c>
      <c r="C59" s="4" t="s">
        <v>33</v>
      </c>
      <c r="D59" s="4" t="s">
        <v>157</v>
      </c>
      <c r="E59" s="4" t="s">
        <v>41</v>
      </c>
      <c r="F59" s="6" t="str">
        <f>IFERROR(VLOOKUP(G59, 'Padronização'!A:C, 3, FALSE), "")</f>
        <v>Emergência sem evacuação clara</v>
      </c>
      <c r="G59" s="17" t="s">
        <v>43</v>
      </c>
      <c r="H59" s="19"/>
    </row>
    <row r="60" ht="22.5" hidden="1" customHeight="1">
      <c r="A60" s="4" t="s">
        <v>30</v>
      </c>
      <c r="B60" s="4">
        <v>2025.0</v>
      </c>
      <c r="C60" s="4" t="s">
        <v>33</v>
      </c>
      <c r="D60" s="4" t="s">
        <v>158</v>
      </c>
      <c r="E60" s="4" t="s">
        <v>8</v>
      </c>
      <c r="F60" s="6" t="str">
        <f>IFERROR(VLOOKUP(G60, 'Padronização'!A:C, 3, FALSE), "")</f>
        <v>Supply chain / impacto econômico indireto</v>
      </c>
      <c r="G60" s="17" t="s">
        <v>34</v>
      </c>
      <c r="H60" s="19"/>
    </row>
    <row r="61" ht="22.5" hidden="1" customHeight="1">
      <c r="A61" s="4" t="s">
        <v>30</v>
      </c>
      <c r="B61" s="4">
        <v>2025.0</v>
      </c>
      <c r="C61" s="4" t="s">
        <v>33</v>
      </c>
      <c r="D61" s="4" t="s">
        <v>159</v>
      </c>
      <c r="E61" s="4" t="s">
        <v>41</v>
      </c>
      <c r="F61" s="6" t="str">
        <f>IFERROR(VLOOKUP(G61, 'Padronização'!A:C, 3, FALSE), "")</f>
        <v>Emergência sem evacuação clara</v>
      </c>
      <c r="G61" s="17" t="s">
        <v>43</v>
      </c>
      <c r="H61" s="19"/>
    </row>
    <row r="62" ht="22.5" hidden="1" customHeight="1">
      <c r="A62" s="4" t="s">
        <v>30</v>
      </c>
      <c r="B62" s="4">
        <v>2025.0</v>
      </c>
      <c r="C62" s="4" t="s">
        <v>33</v>
      </c>
      <c r="D62" s="4" t="s">
        <v>161</v>
      </c>
      <c r="E62" s="4" t="s">
        <v>8</v>
      </c>
      <c r="F62" s="6" t="str">
        <f>IFERROR(VLOOKUP(G62, 'Padronização'!A:C, 3, FALSE), "")</f>
        <v>Não aborda cenário de crise ou desastre</v>
      </c>
      <c r="G62" s="17" t="s">
        <v>31</v>
      </c>
      <c r="H62" s="19"/>
    </row>
    <row r="63" ht="22.5" hidden="1" customHeight="1">
      <c r="A63" s="4" t="s">
        <v>30</v>
      </c>
      <c r="B63" s="4">
        <v>2025.0</v>
      </c>
      <c r="C63" s="4" t="s">
        <v>33</v>
      </c>
      <c r="D63" s="4" t="s">
        <v>162</v>
      </c>
      <c r="E63" s="4" t="s">
        <v>8</v>
      </c>
      <c r="F63" s="6" t="str">
        <f>IFERROR(VLOOKUP(G63, 'Padronização'!A:C, 3, FALSE), "")</f>
        <v>Telecomunicações emergenciais / alocação de rede; foco técnico</v>
      </c>
      <c r="G63" s="17" t="s">
        <v>5</v>
      </c>
      <c r="H63" s="19"/>
    </row>
    <row r="64" ht="22.5" hidden="1" customHeight="1">
      <c r="A64" s="4" t="s">
        <v>30</v>
      </c>
      <c r="B64" s="4">
        <v>2025.0</v>
      </c>
      <c r="C64" s="4" t="s">
        <v>33</v>
      </c>
      <c r="D64" s="4" t="s">
        <v>164</v>
      </c>
      <c r="E64" s="4" t="s">
        <v>8</v>
      </c>
      <c r="F64" s="6" t="str">
        <f>IFERROR(VLOOKUP(G64, 'Padronização'!A:C, 3, FALSE), "")</f>
        <v>Não aborda cenário de crise ou desastre</v>
      </c>
      <c r="G64" s="17" t="s">
        <v>31</v>
      </c>
      <c r="H64" s="19"/>
    </row>
    <row r="65" ht="22.5" hidden="1" customHeight="1">
      <c r="A65" s="4" t="s">
        <v>30</v>
      </c>
      <c r="B65" s="4">
        <v>2025.0</v>
      </c>
      <c r="C65" s="4" t="s">
        <v>33</v>
      </c>
      <c r="D65" s="4" t="s">
        <v>166</v>
      </c>
      <c r="E65" s="4" t="s">
        <v>8</v>
      </c>
      <c r="F65" s="6" t="str">
        <f>IFERROR(VLOOKUP(G65, 'Padronização'!A:C, 3, FALSE), "")</f>
        <v>Não aborda cenário de crise ou desastre</v>
      </c>
      <c r="G65" s="17" t="s">
        <v>31</v>
      </c>
      <c r="H65" s="19"/>
    </row>
    <row r="66" ht="22.5" customHeight="1">
      <c r="A66" s="4" t="s">
        <v>30</v>
      </c>
      <c r="B66" s="4">
        <v>2025.0</v>
      </c>
      <c r="C66" s="4" t="s">
        <v>33</v>
      </c>
      <c r="D66" s="4" t="s">
        <v>167</v>
      </c>
      <c r="E66" s="4" t="s">
        <v>37</v>
      </c>
      <c r="F66" s="6" t="str">
        <f>IFERROR(VLOOKUP(G66, 'Padronização'!A:C, 3, FALSE), "")</f>
        <v>ABM/MAS aplicado à evacuação</v>
      </c>
      <c r="G66" s="17" t="s">
        <v>45</v>
      </c>
      <c r="H66" s="19"/>
    </row>
    <row r="67" ht="22.5" customHeight="1">
      <c r="A67" s="4" t="s">
        <v>30</v>
      </c>
      <c r="B67" s="4">
        <v>2025.0</v>
      </c>
      <c r="C67" s="4" t="s">
        <v>33</v>
      </c>
      <c r="D67" s="4" t="s">
        <v>152</v>
      </c>
      <c r="E67" s="4" t="s">
        <v>37</v>
      </c>
      <c r="F67" s="6" t="str">
        <f>IFERROR(VLOOKUP(G67, 'Padronização'!A:C, 3, FALSE), "")</f>
        <v>ABM/MAS aplicado à evacuação</v>
      </c>
      <c r="G67" s="17" t="s">
        <v>45</v>
      </c>
      <c r="H67" s="19"/>
    </row>
    <row r="68" ht="22.5" customHeight="1">
      <c r="A68" s="4" t="s">
        <v>30</v>
      </c>
      <c r="B68" s="4">
        <v>2025.0</v>
      </c>
      <c r="C68" s="4" t="s">
        <v>33</v>
      </c>
      <c r="D68" s="4" t="s">
        <v>155</v>
      </c>
      <c r="E68" s="4" t="s">
        <v>37</v>
      </c>
      <c r="F68" s="6" t="str">
        <f>IFERROR(VLOOKUP(G68, 'Padronização'!A:C, 3, FALSE), "")</f>
        <v>ABM/MAS aplicado à evacuação</v>
      </c>
      <c r="G68" s="17" t="s">
        <v>45</v>
      </c>
      <c r="H68" s="19"/>
    </row>
    <row r="69" ht="22.5" hidden="1" customHeight="1">
      <c r="A69" s="4" t="s">
        <v>30</v>
      </c>
      <c r="B69" s="4">
        <v>2025.0</v>
      </c>
      <c r="C69" s="4" t="s">
        <v>33</v>
      </c>
      <c r="D69" s="4" t="s">
        <v>169</v>
      </c>
      <c r="E69" s="4" t="s">
        <v>41</v>
      </c>
      <c r="F69" s="6" t="str">
        <f>IFERROR(VLOOKUP(G69, 'Padronização'!A:C, 3, FALSE), "")</f>
        <v>Emergência sem evacuação clara</v>
      </c>
      <c r="G69" s="17" t="s">
        <v>43</v>
      </c>
      <c r="H69" s="19"/>
    </row>
    <row r="70" ht="22.5" hidden="1" customHeight="1">
      <c r="A70" s="4" t="s">
        <v>30</v>
      </c>
      <c r="B70" s="4">
        <v>2025.0</v>
      </c>
      <c r="C70" s="4" t="s">
        <v>33</v>
      </c>
      <c r="D70" s="4" t="s">
        <v>172</v>
      </c>
      <c r="E70" s="4" t="s">
        <v>8</v>
      </c>
      <c r="F70" s="6" t="str">
        <f>IFERROR(VLOOKUP(G70, 'Padronização'!A:C, 3, FALSE), "")</f>
        <v>Transporte / tráfego em operação normal</v>
      </c>
      <c r="G70" s="17" t="s">
        <v>19</v>
      </c>
      <c r="H70" s="19"/>
    </row>
    <row r="71" ht="22.5" hidden="1" customHeight="1">
      <c r="A71" s="4" t="s">
        <v>30</v>
      </c>
      <c r="B71" s="4">
        <v>2025.0</v>
      </c>
      <c r="C71" s="4" t="s">
        <v>33</v>
      </c>
      <c r="D71" s="4" t="s">
        <v>173</v>
      </c>
      <c r="E71" s="4" t="s">
        <v>41</v>
      </c>
      <c r="F71" s="6" t="str">
        <f>IFERROR(VLOOKUP(G71, 'Padronização'!A:C, 3, FALSE), "")</f>
        <v>Emergência sem evacuação clara</v>
      </c>
      <c r="G71" s="17" t="s">
        <v>43</v>
      </c>
      <c r="H71" s="19"/>
    </row>
    <row r="72" ht="22.5" customHeight="1">
      <c r="A72" s="4" t="s">
        <v>30</v>
      </c>
      <c r="B72" s="4">
        <v>2025.0</v>
      </c>
      <c r="C72" s="4" t="s">
        <v>33</v>
      </c>
      <c r="D72" s="4" t="s">
        <v>175</v>
      </c>
      <c r="E72" s="4" t="s">
        <v>37</v>
      </c>
      <c r="F72" s="6" t="str">
        <f>IFERROR(VLOOKUP(G72, 'Padronização'!A:C, 3, FALSE), "")</f>
        <v>Resposta humana a alertas e decisões</v>
      </c>
      <c r="G72" s="17" t="s">
        <v>50</v>
      </c>
      <c r="H72" s="19"/>
    </row>
    <row r="73" ht="22.5" customHeight="1">
      <c r="A73" s="4" t="s">
        <v>30</v>
      </c>
      <c r="B73" s="4">
        <v>2025.0</v>
      </c>
      <c r="C73" s="4" t="s">
        <v>33</v>
      </c>
      <c r="D73" s="4" t="s">
        <v>177</v>
      </c>
      <c r="E73" s="4" t="s">
        <v>37</v>
      </c>
      <c r="F73" s="6" t="str">
        <f>IFERROR(VLOOKUP(G73, 'Padronização'!A:C, 3, FALSE), "")</f>
        <v>ABM/MAS aplicado à evacuação</v>
      </c>
      <c r="G73" s="17" t="s">
        <v>45</v>
      </c>
      <c r="H73" s="19"/>
    </row>
    <row r="74" ht="22.5" hidden="1" customHeight="1">
      <c r="A74" s="4" t="s">
        <v>30</v>
      </c>
      <c r="B74" s="4">
        <v>2025.0</v>
      </c>
      <c r="C74" s="4" t="s">
        <v>33</v>
      </c>
      <c r="D74" s="4" t="s">
        <v>178</v>
      </c>
      <c r="E74" s="4" t="s">
        <v>41</v>
      </c>
      <c r="F74" s="6" t="str">
        <f>IFERROR(VLOOKUP(G74, 'Padronização'!A:C, 3, FALSE), "")</f>
        <v>Emergência sem evacuação clara</v>
      </c>
      <c r="G74" s="17" t="s">
        <v>43</v>
      </c>
      <c r="H74" s="19"/>
    </row>
    <row r="75" ht="22.5" hidden="1" customHeight="1">
      <c r="A75" s="4" t="s">
        <v>30</v>
      </c>
      <c r="B75" s="4">
        <v>2025.0</v>
      </c>
      <c r="C75" s="4" t="s">
        <v>33</v>
      </c>
      <c r="D75" s="4" t="s">
        <v>182</v>
      </c>
      <c r="E75" s="4" t="s">
        <v>8</v>
      </c>
      <c r="F75" s="6" t="str">
        <f>IFERROR(VLOOKUP(G75, 'Padronização'!A:C, 3, FALSE), "")</f>
        <v>Telecomunicações emergenciais / alocação de rede; foco técnico</v>
      </c>
      <c r="G75" s="17" t="s">
        <v>5</v>
      </c>
      <c r="H75" s="19"/>
    </row>
    <row r="76" ht="22.5" customHeight="1">
      <c r="A76" s="4" t="s">
        <v>30</v>
      </c>
      <c r="B76" s="4">
        <v>2025.0</v>
      </c>
      <c r="C76" s="4" t="s">
        <v>87</v>
      </c>
      <c r="D76" s="4" t="s">
        <v>163</v>
      </c>
      <c r="E76" s="4" t="s">
        <v>37</v>
      </c>
      <c r="F76" s="6" t="str">
        <f>IFERROR(VLOOKUP(G76, 'Padronização'!A:C, 3, FALSE), "")</f>
        <v>ABM/MAS aplicado à evacuação</v>
      </c>
      <c r="G76" s="17" t="s">
        <v>45</v>
      </c>
      <c r="H76" s="19"/>
    </row>
    <row r="77" ht="22.5" customHeight="1">
      <c r="A77" s="4" t="s">
        <v>30</v>
      </c>
      <c r="B77" s="4">
        <v>2025.0</v>
      </c>
      <c r="C77" s="4" t="s">
        <v>33</v>
      </c>
      <c r="D77" s="4" t="s">
        <v>168</v>
      </c>
      <c r="E77" s="4" t="s">
        <v>37</v>
      </c>
      <c r="F77" s="6" t="str">
        <f>IFERROR(VLOOKUP(G77, 'Padronização'!A:C, 3, FALSE), "")</f>
        <v>ABM/MAS aplicado à evacuação</v>
      </c>
      <c r="G77" s="17" t="s">
        <v>45</v>
      </c>
      <c r="H77" s="19"/>
    </row>
    <row r="78" ht="22.5" customHeight="1">
      <c r="A78" s="4" t="s">
        <v>30</v>
      </c>
      <c r="B78" s="4">
        <v>2025.0</v>
      </c>
      <c r="C78" s="4" t="s">
        <v>33</v>
      </c>
      <c r="D78" s="4" t="s">
        <v>184</v>
      </c>
      <c r="E78" s="4" t="s">
        <v>37</v>
      </c>
      <c r="F78" s="6" t="str">
        <f>IFERROR(VLOOKUP(G78, 'Padronização'!A:C, 3, FALSE), "")</f>
        <v>ABM/MAS focado em comportamento humano cognitivo</v>
      </c>
      <c r="G78" s="17" t="s">
        <v>47</v>
      </c>
      <c r="H78" s="19"/>
    </row>
    <row r="79" ht="22.5" hidden="1" customHeight="1">
      <c r="A79" s="4" t="s">
        <v>30</v>
      </c>
      <c r="B79" s="4">
        <v>2025.0</v>
      </c>
      <c r="C79" s="4" t="s">
        <v>33</v>
      </c>
      <c r="D79" s="4" t="s">
        <v>186</v>
      </c>
      <c r="E79" s="4" t="s">
        <v>41</v>
      </c>
      <c r="F79" s="6" t="str">
        <f>IFERROR(VLOOKUP(G79, 'Padronização'!A:C, 3, FALSE), "")</f>
        <v>Emergência sem evacuação clara</v>
      </c>
      <c r="G79" s="17" t="s">
        <v>43</v>
      </c>
      <c r="H79" s="19"/>
    </row>
    <row r="80" ht="22.5" hidden="1" customHeight="1">
      <c r="A80" s="4" t="s">
        <v>30</v>
      </c>
      <c r="B80" s="4">
        <v>2025.0</v>
      </c>
      <c r="C80" s="4" t="s">
        <v>33</v>
      </c>
      <c r="D80" s="4" t="s">
        <v>187</v>
      </c>
      <c r="E80" s="4" t="s">
        <v>41</v>
      </c>
      <c r="F80" s="6" t="str">
        <f>IFERROR(VLOOKUP(G80, 'Padronização'!A:C, 3, FALSE), "")</f>
        <v>Emergência sem evacuação clara</v>
      </c>
      <c r="G80" s="17" t="s">
        <v>43</v>
      </c>
      <c r="H80" s="19"/>
    </row>
    <row r="81" ht="22.5" hidden="1" customHeight="1">
      <c r="A81" s="4" t="s">
        <v>30</v>
      </c>
      <c r="B81" s="4">
        <v>2025.0</v>
      </c>
      <c r="C81" s="4" t="s">
        <v>33</v>
      </c>
      <c r="D81" s="4" t="s">
        <v>189</v>
      </c>
      <c r="E81" s="4" t="s">
        <v>8</v>
      </c>
      <c r="F81" s="6" t="str">
        <f>IFERROR(VLOOKUP(G81, 'Padronização'!A:C, 3, FALSE), "")</f>
        <v>Não aborda cenário de crise ou desastre</v>
      </c>
      <c r="G81" s="17" t="s">
        <v>31</v>
      </c>
      <c r="H81" s="19"/>
    </row>
    <row r="82" ht="22.5" hidden="1" customHeight="1">
      <c r="A82" s="4" t="s">
        <v>30</v>
      </c>
      <c r="B82" s="4">
        <v>2025.0</v>
      </c>
      <c r="C82" s="4" t="s">
        <v>33</v>
      </c>
      <c r="D82" s="4" t="s">
        <v>191</v>
      </c>
      <c r="E82" s="4" t="s">
        <v>41</v>
      </c>
      <c r="F82" s="6" t="str">
        <f>IFERROR(VLOOKUP(G82, 'Padronização'!A:C, 3, FALSE), "")</f>
        <v>Emergência sem evacuação clara</v>
      </c>
      <c r="G82" s="17" t="s">
        <v>43</v>
      </c>
      <c r="H82" s="19"/>
    </row>
    <row r="83" ht="22.5" hidden="1" customHeight="1">
      <c r="A83" s="4" t="s">
        <v>30</v>
      </c>
      <c r="B83" s="4">
        <v>2025.0</v>
      </c>
      <c r="C83" s="4" t="s">
        <v>33</v>
      </c>
      <c r="D83" s="4" t="s">
        <v>192</v>
      </c>
      <c r="E83" s="4" t="s">
        <v>8</v>
      </c>
      <c r="F83" s="6" t="str">
        <f>IFERROR(VLOOKUP(G83, 'Padronização'!A:C, 3, FALSE), "")</f>
        <v>Não aborda cenário de crise ou desastre</v>
      </c>
      <c r="G83" s="17" t="s">
        <v>31</v>
      </c>
      <c r="H83" s="19"/>
    </row>
    <row r="84" ht="22.5" customHeight="1">
      <c r="A84" s="4" t="s">
        <v>30</v>
      </c>
      <c r="B84" s="4">
        <v>2025.0</v>
      </c>
      <c r="C84" s="4" t="s">
        <v>33</v>
      </c>
      <c r="D84" s="4" t="s">
        <v>171</v>
      </c>
      <c r="E84" s="4" t="s">
        <v>37</v>
      </c>
      <c r="F84" s="6" t="str">
        <f>IFERROR(VLOOKUP(G84, 'Padronização'!A:C, 3, FALSE), "")</f>
        <v>ABM/MAS aplicado à evacuação</v>
      </c>
      <c r="G84" s="17" t="s">
        <v>45</v>
      </c>
      <c r="H84" s="19"/>
    </row>
    <row r="85" ht="22.5" hidden="1" customHeight="1">
      <c r="A85" s="4" t="s">
        <v>30</v>
      </c>
      <c r="B85" s="4">
        <v>2025.0</v>
      </c>
      <c r="C85" s="4" t="s">
        <v>33</v>
      </c>
      <c r="D85" s="4" t="s">
        <v>194</v>
      </c>
      <c r="E85" s="4" t="s">
        <v>41</v>
      </c>
      <c r="F85" s="6" t="str">
        <f>IFERROR(VLOOKUP(G85, 'Padronização'!A:C, 3, FALSE), "")</f>
        <v>Emergência sem evacuação clara</v>
      </c>
      <c r="G85" s="17" t="s">
        <v>43</v>
      </c>
      <c r="H85" s="19"/>
    </row>
    <row r="86" ht="22.5" hidden="1" customHeight="1">
      <c r="A86" s="4" t="s">
        <v>30</v>
      </c>
      <c r="B86" s="4">
        <v>2025.0</v>
      </c>
      <c r="C86" s="4" t="s">
        <v>33</v>
      </c>
      <c r="D86" s="4" t="s">
        <v>195</v>
      </c>
      <c r="E86" s="4" t="s">
        <v>8</v>
      </c>
      <c r="F86" s="6" t="str">
        <f>IFERROR(VLOOKUP(G86, 'Padronização'!A:C, 3, FALSE), "")</f>
        <v>Não aborda cenário de crise ou desastre</v>
      </c>
      <c r="G86" s="17" t="s">
        <v>31</v>
      </c>
      <c r="H86" s="19"/>
    </row>
    <row r="87" ht="22.5" hidden="1" customHeight="1">
      <c r="A87" s="4" t="s">
        <v>30</v>
      </c>
      <c r="B87" s="4">
        <v>2025.0</v>
      </c>
      <c r="C87" s="4" t="s">
        <v>33</v>
      </c>
      <c r="D87" s="4" t="s">
        <v>197</v>
      </c>
      <c r="E87" s="4" t="s">
        <v>8</v>
      </c>
      <c r="F87" s="6" t="str">
        <f>IFERROR(VLOOKUP(G87, 'Padronização'!A:C, 3, FALSE), "")</f>
        <v>Transporte / tráfego em operação normal</v>
      </c>
      <c r="G87" s="17" t="s">
        <v>19</v>
      </c>
      <c r="H87" s="19"/>
    </row>
    <row r="88" ht="22.5" customHeight="1">
      <c r="A88" s="4" t="s">
        <v>30</v>
      </c>
      <c r="B88" s="4">
        <v>2025.0</v>
      </c>
      <c r="C88" s="4" t="s">
        <v>33</v>
      </c>
      <c r="D88" s="4" t="s">
        <v>174</v>
      </c>
      <c r="E88" s="4" t="s">
        <v>37</v>
      </c>
      <c r="F88" s="6" t="str">
        <f>IFERROR(VLOOKUP(G88, 'Padronização'!A:C, 3, FALSE), "")</f>
        <v>ABM/MAS aplicado à evacuação</v>
      </c>
      <c r="G88" s="17" t="s">
        <v>45</v>
      </c>
      <c r="H88" s="19"/>
    </row>
    <row r="89" ht="22.5" customHeight="1">
      <c r="A89" s="4" t="s">
        <v>30</v>
      </c>
      <c r="B89" s="4">
        <v>2025.0</v>
      </c>
      <c r="C89" s="4" t="s">
        <v>33</v>
      </c>
      <c r="D89" s="4" t="s">
        <v>179</v>
      </c>
      <c r="E89" s="4" t="s">
        <v>37</v>
      </c>
      <c r="F89" s="6" t="str">
        <f>IFERROR(VLOOKUP(G89, 'Padronização'!A:C, 3, FALSE), "")</f>
        <v>ABM/MAS aplicado à evacuação</v>
      </c>
      <c r="G89" s="17" t="s">
        <v>45</v>
      </c>
      <c r="H89" s="19"/>
    </row>
    <row r="90" ht="22.5" customHeight="1">
      <c r="A90" s="4" t="s">
        <v>30</v>
      </c>
      <c r="B90" s="4">
        <v>2025.0</v>
      </c>
      <c r="C90" s="4" t="s">
        <v>33</v>
      </c>
      <c r="D90" s="4" t="s">
        <v>199</v>
      </c>
      <c r="E90" s="4" t="s">
        <v>37</v>
      </c>
      <c r="F90" s="6" t="str">
        <f>IFERROR(VLOOKUP(G90, 'Padronização'!A:C, 3, FALSE), "")</f>
        <v>ABM/MAS aplicado à evacuação</v>
      </c>
      <c r="G90" s="17" t="s">
        <v>45</v>
      </c>
      <c r="H90" s="19"/>
    </row>
    <row r="91" ht="22.5" hidden="1" customHeight="1">
      <c r="A91" s="4" t="s">
        <v>30</v>
      </c>
      <c r="B91" s="4">
        <v>2025.0</v>
      </c>
      <c r="C91" s="4" t="s">
        <v>33</v>
      </c>
      <c r="D91" s="4" t="s">
        <v>201</v>
      </c>
      <c r="E91" s="4" t="s">
        <v>41</v>
      </c>
      <c r="F91" s="6" t="str">
        <f>IFERROR(VLOOKUP(G91, 'Padronização'!A:C, 3, FALSE), "")</f>
        <v>Emergência sem evacuação clara</v>
      </c>
      <c r="G91" s="17" t="s">
        <v>43</v>
      </c>
      <c r="H91" s="19"/>
    </row>
    <row r="92" ht="22.5" hidden="1" customHeight="1">
      <c r="A92" s="4" t="s">
        <v>30</v>
      </c>
      <c r="B92" s="4">
        <v>2025.0</v>
      </c>
      <c r="C92" s="4" t="s">
        <v>33</v>
      </c>
      <c r="D92" s="4" t="s">
        <v>202</v>
      </c>
      <c r="E92" s="4" t="s">
        <v>8</v>
      </c>
      <c r="F92" s="6" t="str">
        <f>IFERROR(VLOOKUP(G92, 'Padronização'!A:C, 3, FALSE), "")</f>
        <v>Transporte / tráfego em operação normal</v>
      </c>
      <c r="G92" s="17" t="s">
        <v>19</v>
      </c>
      <c r="H92" s="19"/>
    </row>
    <row r="93" ht="22.5" customHeight="1">
      <c r="A93" s="4" t="s">
        <v>30</v>
      </c>
      <c r="B93" s="4">
        <v>2025.0</v>
      </c>
      <c r="C93" s="4" t="s">
        <v>33</v>
      </c>
      <c r="D93" s="4" t="s">
        <v>205</v>
      </c>
      <c r="E93" s="4" t="s">
        <v>37</v>
      </c>
      <c r="F93" s="6" t="str">
        <f>IFERROR(VLOOKUP(G93, 'Padronização'!A:C, 3, FALSE), "")</f>
        <v>ABM/MAS focado em comportamento humano cognitivo</v>
      </c>
      <c r="G93" s="17" t="s">
        <v>47</v>
      </c>
      <c r="H93" s="19"/>
    </row>
    <row r="94" ht="22.5" hidden="1" customHeight="1">
      <c r="A94" s="4" t="s">
        <v>30</v>
      </c>
      <c r="B94" s="4">
        <v>2025.0</v>
      </c>
      <c r="C94" s="4" t="s">
        <v>33</v>
      </c>
      <c r="D94" s="4" t="s">
        <v>206</v>
      </c>
      <c r="E94" s="4" t="s">
        <v>41</v>
      </c>
      <c r="F94" s="6" t="str">
        <f>IFERROR(VLOOKUP(G94, 'Padronização'!A:C, 3, FALSE), "")</f>
        <v>Emergência sem evacuação clara</v>
      </c>
      <c r="G94" s="17" t="s">
        <v>43</v>
      </c>
      <c r="H94" s="19"/>
    </row>
    <row r="95" ht="22.5" hidden="1" customHeight="1">
      <c r="A95" s="4" t="s">
        <v>30</v>
      </c>
      <c r="B95" s="4">
        <v>2025.0</v>
      </c>
      <c r="C95" s="4" t="s">
        <v>33</v>
      </c>
      <c r="D95" s="4" t="s">
        <v>207</v>
      </c>
      <c r="E95" s="4" t="s">
        <v>8</v>
      </c>
      <c r="F95" s="6" t="str">
        <f>IFERROR(VLOOKUP(G95, 'Padronização'!A:C, 3, FALSE), "")</f>
        <v>Transporte / tráfego em operação normal</v>
      </c>
      <c r="G95" s="17" t="s">
        <v>19</v>
      </c>
      <c r="H95" s="19"/>
    </row>
    <row r="96" ht="22.5" hidden="1" customHeight="1">
      <c r="A96" s="4" t="s">
        <v>30</v>
      </c>
      <c r="B96" s="4">
        <v>2025.0</v>
      </c>
      <c r="C96" s="4" t="s">
        <v>33</v>
      </c>
      <c r="D96" s="4" t="s">
        <v>208</v>
      </c>
      <c r="E96" s="4" t="s">
        <v>41</v>
      </c>
      <c r="F96" s="6" t="str">
        <f>IFERROR(VLOOKUP(G96, 'Padronização'!A:C, 3, FALSE), "")</f>
        <v>Emergência sem evacuação clara</v>
      </c>
      <c r="G96" s="17" t="s">
        <v>43</v>
      </c>
      <c r="H96" s="19"/>
    </row>
    <row r="97" ht="22.5" customHeight="1">
      <c r="A97" s="4" t="s">
        <v>30</v>
      </c>
      <c r="B97" s="4">
        <v>2025.0</v>
      </c>
      <c r="C97" s="4" t="s">
        <v>33</v>
      </c>
      <c r="D97" s="4" t="s">
        <v>209</v>
      </c>
      <c r="E97" s="4" t="s">
        <v>37</v>
      </c>
      <c r="F97" s="6" t="str">
        <f>IFERROR(VLOOKUP(G97, 'Padronização'!A:C, 3, FALSE), "")</f>
        <v>ABM/MAS focado em comportamento humano cognitivo</v>
      </c>
      <c r="G97" s="17" t="s">
        <v>47</v>
      </c>
      <c r="H97" s="19"/>
    </row>
    <row r="98" ht="22.5" customHeight="1">
      <c r="A98" s="4" t="s">
        <v>30</v>
      </c>
      <c r="B98" s="4">
        <v>2025.0</v>
      </c>
      <c r="C98" s="4" t="s">
        <v>33</v>
      </c>
      <c r="D98" s="4" t="s">
        <v>210</v>
      </c>
      <c r="E98" s="4" t="s">
        <v>37</v>
      </c>
      <c r="F98" s="6" t="str">
        <f>IFERROR(VLOOKUP(G98, 'Padronização'!A:C, 3, FALSE), "")</f>
        <v>ABM/MAS aplicado à evacuação</v>
      </c>
      <c r="G98" s="17" t="s">
        <v>45</v>
      </c>
      <c r="H98" s="19"/>
    </row>
    <row r="99" ht="22.5" customHeight="1">
      <c r="A99" s="4" t="s">
        <v>30</v>
      </c>
      <c r="B99" s="4">
        <v>2025.0</v>
      </c>
      <c r="C99" s="4" t="s">
        <v>33</v>
      </c>
      <c r="D99" s="4" t="s">
        <v>196</v>
      </c>
      <c r="E99" s="4" t="s">
        <v>37</v>
      </c>
      <c r="F99" s="6" t="str">
        <f>IFERROR(VLOOKUP(G99, 'Padronização'!A:C, 3, FALSE), "")</f>
        <v>ABM/MAS aplicado à evacuação</v>
      </c>
      <c r="G99" s="17" t="s">
        <v>45</v>
      </c>
      <c r="H99" s="19"/>
    </row>
    <row r="100" ht="22.5" hidden="1" customHeight="1">
      <c r="A100" s="4" t="s">
        <v>30</v>
      </c>
      <c r="B100" s="4">
        <v>2025.0</v>
      </c>
      <c r="C100" s="4" t="s">
        <v>33</v>
      </c>
      <c r="D100" s="4" t="s">
        <v>211</v>
      </c>
      <c r="E100" s="4" t="s">
        <v>8</v>
      </c>
      <c r="F100" s="6" t="str">
        <f>IFERROR(VLOOKUP(G100, 'Padronização'!A:C, 3, FALSE), "")</f>
        <v>Não aborda cenário de crise ou desastre</v>
      </c>
      <c r="G100" s="17" t="s">
        <v>31</v>
      </c>
      <c r="H100" s="19"/>
    </row>
    <row r="101" ht="22.5" hidden="1" customHeight="1">
      <c r="A101" s="4" t="s">
        <v>30</v>
      </c>
      <c r="B101" s="4">
        <v>2025.0</v>
      </c>
      <c r="C101" s="4" t="s">
        <v>87</v>
      </c>
      <c r="D101" s="4" t="s">
        <v>212</v>
      </c>
      <c r="E101" s="4" t="s">
        <v>41</v>
      </c>
      <c r="F101" s="6" t="str">
        <f>IFERROR(VLOOKUP(G101, 'Padronização'!A:C, 3, FALSE), "")</f>
        <v>Emergência sem evacuação clara</v>
      </c>
      <c r="G101" s="17" t="s">
        <v>43</v>
      </c>
      <c r="H101" s="19"/>
    </row>
    <row r="102" ht="22.5" customHeight="1">
      <c r="A102" s="4" t="s">
        <v>30</v>
      </c>
      <c r="B102" s="4">
        <v>2025.0</v>
      </c>
      <c r="C102" s="4" t="s">
        <v>87</v>
      </c>
      <c r="D102" s="4" t="s">
        <v>213</v>
      </c>
      <c r="E102" s="4" t="s">
        <v>37</v>
      </c>
      <c r="F102" s="6" t="str">
        <f>IFERROR(VLOOKUP(G102, 'Padronização'!A:C, 3, FALSE), "")</f>
        <v>ABM/MAS aplicado à evacuação</v>
      </c>
      <c r="G102" s="17" t="s">
        <v>45</v>
      </c>
      <c r="H102" s="19"/>
    </row>
    <row r="103" ht="22.5" hidden="1" customHeight="1">
      <c r="A103" s="4" t="s">
        <v>30</v>
      </c>
      <c r="B103" s="4">
        <v>2025.0</v>
      </c>
      <c r="C103" s="4" t="s">
        <v>87</v>
      </c>
      <c r="D103" s="4" t="s">
        <v>214</v>
      </c>
      <c r="E103" s="4" t="s">
        <v>8</v>
      </c>
      <c r="F103" s="6" t="str">
        <f>IFERROR(VLOOKUP(G103, 'Padronização'!A:C, 3, FALSE), "")</f>
        <v>Não aborda cenário de crise ou desastre</v>
      </c>
      <c r="G103" s="17" t="s">
        <v>31</v>
      </c>
      <c r="H103" s="19"/>
    </row>
    <row r="104" ht="22.5" hidden="1" customHeight="1">
      <c r="A104" s="4" t="s">
        <v>30</v>
      </c>
      <c r="B104" s="4">
        <v>2025.0</v>
      </c>
      <c r="C104" s="4" t="s">
        <v>33</v>
      </c>
      <c r="D104" s="4" t="s">
        <v>215</v>
      </c>
      <c r="E104" s="4" t="s">
        <v>8</v>
      </c>
      <c r="F104" s="6" t="str">
        <f>IFERROR(VLOOKUP(G104, 'Padronização'!A:C, 3, FALSE), "")</f>
        <v>Não aborda cenário de crise ou desastre</v>
      </c>
      <c r="G104" s="20" t="s">
        <v>31</v>
      </c>
      <c r="H104" s="19"/>
    </row>
    <row r="105" ht="22.5" customHeight="1">
      <c r="A105" s="4" t="s">
        <v>30</v>
      </c>
      <c r="B105" s="4">
        <v>2025.0</v>
      </c>
      <c r="C105" s="4" t="s">
        <v>33</v>
      </c>
      <c r="D105" s="4" t="s">
        <v>200</v>
      </c>
      <c r="E105" s="4" t="s">
        <v>37</v>
      </c>
      <c r="F105" s="6" t="str">
        <f>IFERROR(VLOOKUP(G105, 'Padronização'!A:C, 3, FALSE), "")</f>
        <v>ABM/MAS aplicado à evacuação</v>
      </c>
      <c r="G105" s="17" t="s">
        <v>45</v>
      </c>
      <c r="H105" s="19"/>
    </row>
    <row r="106" ht="22.5" customHeight="1">
      <c r="A106" s="4" t="s">
        <v>30</v>
      </c>
      <c r="B106" s="4">
        <v>2025.0</v>
      </c>
      <c r="C106" s="4" t="s">
        <v>33</v>
      </c>
      <c r="D106" s="4" t="s">
        <v>203</v>
      </c>
      <c r="E106" s="4" t="s">
        <v>37</v>
      </c>
      <c r="F106" s="6" t="str">
        <f>IFERROR(VLOOKUP(G106, 'Padronização'!A:C, 3, FALSE), "")</f>
        <v>ABM/MAS aplicado à evacuação</v>
      </c>
      <c r="G106" s="17" t="s">
        <v>45</v>
      </c>
      <c r="H106" s="19"/>
    </row>
    <row r="107" ht="22.5" hidden="1" customHeight="1">
      <c r="A107" s="4" t="s">
        <v>30</v>
      </c>
      <c r="B107" s="4">
        <v>2025.0</v>
      </c>
      <c r="C107" s="4" t="s">
        <v>33</v>
      </c>
      <c r="D107" s="4" t="s">
        <v>216</v>
      </c>
      <c r="E107" s="4" t="s">
        <v>8</v>
      </c>
      <c r="F107" s="6" t="str">
        <f>IFERROR(VLOOKUP(G107, 'Padronização'!A:C, 3, FALSE), "")</f>
        <v>Não aborda cenário de crise ou desastre</v>
      </c>
      <c r="G107" s="17" t="s">
        <v>31</v>
      </c>
      <c r="H107" s="19"/>
    </row>
    <row r="108" ht="22.5" customHeight="1">
      <c r="A108" s="4" t="s">
        <v>30</v>
      </c>
      <c r="B108" s="4">
        <v>2025.0</v>
      </c>
      <c r="C108" s="4" t="s">
        <v>33</v>
      </c>
      <c r="D108" s="4" t="s">
        <v>217</v>
      </c>
      <c r="E108" s="4" t="s">
        <v>37</v>
      </c>
      <c r="F108" s="6" t="str">
        <f>IFERROR(VLOOKUP(G108, 'Padronização'!A:C, 3, FALSE), "")</f>
        <v>ABM/MAS aplicado à evacuação</v>
      </c>
      <c r="G108" s="17" t="s">
        <v>45</v>
      </c>
      <c r="H108" s="19"/>
    </row>
    <row r="109" ht="22.5" hidden="1" customHeight="1">
      <c r="A109" s="4" t="s">
        <v>30</v>
      </c>
      <c r="B109" s="4">
        <v>2025.0</v>
      </c>
      <c r="C109" s="4" t="s">
        <v>33</v>
      </c>
      <c r="D109" s="4" t="s">
        <v>218</v>
      </c>
      <c r="E109" s="4" t="s">
        <v>41</v>
      </c>
      <c r="F109" s="6" t="str">
        <f>IFERROR(VLOOKUP(G109, 'Padronização'!A:C, 3, FALSE), "")</f>
        <v>Emergência sem evacuação clara</v>
      </c>
      <c r="G109" s="17" t="s">
        <v>43</v>
      </c>
      <c r="H109" s="19"/>
    </row>
    <row r="110" ht="22.5" customHeight="1">
      <c r="A110" s="4" t="s">
        <v>30</v>
      </c>
      <c r="B110" s="4">
        <v>2025.0</v>
      </c>
      <c r="C110" s="4" t="s">
        <v>33</v>
      </c>
      <c r="D110" s="4" t="s">
        <v>219</v>
      </c>
      <c r="E110" s="4" t="s">
        <v>37</v>
      </c>
      <c r="F110" s="6" t="str">
        <f>IFERROR(VLOOKUP(G110, 'Padronização'!A:C, 3, FALSE), "")</f>
        <v>ABM/MAS aplicado à evacuação</v>
      </c>
      <c r="G110" s="17" t="s">
        <v>45</v>
      </c>
      <c r="H110" s="19"/>
    </row>
    <row r="111" ht="22.5" customHeight="1">
      <c r="A111" s="4" t="s">
        <v>30</v>
      </c>
      <c r="B111" s="4">
        <v>2025.0</v>
      </c>
      <c r="C111" s="4" t="s">
        <v>33</v>
      </c>
      <c r="D111" s="4" t="s">
        <v>106</v>
      </c>
      <c r="E111" s="4" t="s">
        <v>37</v>
      </c>
      <c r="F111" s="6" t="str">
        <f>IFERROR(VLOOKUP(G111, 'Padronização'!A:C, 3, FALSE), "")</f>
        <v>ABM/MAS aplicado à evacuação</v>
      </c>
      <c r="G111" s="17" t="s">
        <v>45</v>
      </c>
      <c r="H111" s="19"/>
    </row>
    <row r="112" ht="22.5" hidden="1" customHeight="1">
      <c r="A112" s="4" t="s">
        <v>30</v>
      </c>
      <c r="B112" s="4">
        <v>2025.0</v>
      </c>
      <c r="C112" s="4" t="s">
        <v>33</v>
      </c>
      <c r="D112" s="4" t="s">
        <v>220</v>
      </c>
      <c r="E112" s="4" t="s">
        <v>8</v>
      </c>
      <c r="F112" s="6" t="str">
        <f>IFERROR(VLOOKUP(G112, 'Padronização'!A:C, 3, FALSE), "")</f>
        <v>Não aborda cenário de crise ou desastre</v>
      </c>
      <c r="G112" s="17" t="s">
        <v>31</v>
      </c>
      <c r="H112" s="19"/>
    </row>
    <row r="113" ht="22.5" hidden="1" customHeight="1">
      <c r="A113" s="4" t="s">
        <v>30</v>
      </c>
      <c r="B113" s="4">
        <v>2025.0</v>
      </c>
      <c r="C113" s="4" t="s">
        <v>33</v>
      </c>
      <c r="D113" s="4" t="s">
        <v>221</v>
      </c>
      <c r="E113" s="4" t="s">
        <v>41</v>
      </c>
      <c r="F113" s="6" t="str">
        <f>IFERROR(VLOOKUP(G113, 'Padronização'!A:C, 3, FALSE), "")</f>
        <v>Emergência sem evacuação clara</v>
      </c>
      <c r="G113" s="17" t="s">
        <v>43</v>
      </c>
      <c r="H113" s="19"/>
    </row>
    <row r="114" ht="22.5" hidden="1" customHeight="1">
      <c r="A114" s="4" t="s">
        <v>30</v>
      </c>
      <c r="B114" s="4">
        <v>2025.0</v>
      </c>
      <c r="C114" s="4" t="s">
        <v>33</v>
      </c>
      <c r="D114" s="4" t="s">
        <v>222</v>
      </c>
      <c r="E114" s="4" t="s">
        <v>8</v>
      </c>
      <c r="F114" s="6" t="str">
        <f>IFERROR(VLOOKUP(G114, 'Padronização'!A:C, 3, FALSE), "")</f>
        <v>Não aborda cenário de crise ou desastre</v>
      </c>
      <c r="G114" s="17" t="s">
        <v>31</v>
      </c>
      <c r="H114" s="19"/>
    </row>
    <row r="115" ht="22.5" customHeight="1">
      <c r="A115" s="4" t="s">
        <v>30</v>
      </c>
      <c r="B115" s="4">
        <v>2025.0</v>
      </c>
      <c r="C115" s="4" t="s">
        <v>33</v>
      </c>
      <c r="D115" s="4" t="s">
        <v>223</v>
      </c>
      <c r="E115" s="4" t="s">
        <v>37</v>
      </c>
      <c r="F115" s="6" t="str">
        <f>IFERROR(VLOOKUP(G115, 'Padronização'!A:C, 3, FALSE), "")</f>
        <v>ABM/MAS aplicado à evacuação</v>
      </c>
      <c r="G115" s="17" t="s">
        <v>45</v>
      </c>
      <c r="H115" s="19"/>
    </row>
    <row r="116" ht="22.5" hidden="1" customHeight="1">
      <c r="A116" s="4" t="s">
        <v>30</v>
      </c>
      <c r="B116" s="4">
        <v>2025.0</v>
      </c>
      <c r="C116" s="4" t="s">
        <v>33</v>
      </c>
      <c r="D116" s="4" t="s">
        <v>224</v>
      </c>
      <c r="E116" s="4" t="s">
        <v>41</v>
      </c>
      <c r="F116" s="6" t="str">
        <f>IFERROR(VLOOKUP(G116, 'Padronização'!A:C, 3, FALSE), "")</f>
        <v>Emergência sem evacuação clara</v>
      </c>
      <c r="G116" s="17" t="s">
        <v>43</v>
      </c>
      <c r="H116" s="19"/>
    </row>
    <row r="117" ht="22.5" hidden="1" customHeight="1">
      <c r="A117" s="4" t="s">
        <v>30</v>
      </c>
      <c r="B117" s="4">
        <v>2025.0</v>
      </c>
      <c r="C117" s="4" t="s">
        <v>33</v>
      </c>
      <c r="D117" s="4" t="s">
        <v>225</v>
      </c>
      <c r="E117" s="4" t="s">
        <v>41</v>
      </c>
      <c r="F117" s="6" t="str">
        <f>IFERROR(VLOOKUP(G117, 'Padronização'!A:C, 3, FALSE), "")</f>
        <v>Emergência sem evacuação clara</v>
      </c>
      <c r="G117" s="17" t="s">
        <v>43</v>
      </c>
      <c r="H117" s="19"/>
    </row>
    <row r="118" ht="22.5" customHeight="1">
      <c r="A118" s="4" t="s">
        <v>30</v>
      </c>
      <c r="B118" s="4">
        <v>2025.0</v>
      </c>
      <c r="C118" s="4" t="s">
        <v>33</v>
      </c>
      <c r="D118" s="4" t="s">
        <v>226</v>
      </c>
      <c r="E118" s="4" t="s">
        <v>37</v>
      </c>
      <c r="F118" s="6" t="str">
        <f>IFERROR(VLOOKUP(G118, 'Padronização'!A:C, 3, FALSE), "")</f>
        <v>ABM/MAS focado em comportamento humano cognitivo</v>
      </c>
      <c r="G118" s="17" t="s">
        <v>47</v>
      </c>
      <c r="H118" s="19"/>
    </row>
    <row r="119" ht="22.5" customHeight="1">
      <c r="A119" s="4" t="s">
        <v>30</v>
      </c>
      <c r="B119" s="4">
        <v>2025.0</v>
      </c>
      <c r="C119" s="4" t="s">
        <v>33</v>
      </c>
      <c r="D119" s="4" t="s">
        <v>227</v>
      </c>
      <c r="E119" s="4" t="s">
        <v>37</v>
      </c>
      <c r="F119" s="6" t="str">
        <f>IFERROR(VLOOKUP(G119, 'Padronização'!A:C, 3, FALSE), "")</f>
        <v>ABM/MAS focado em comportamento humano cognitivo</v>
      </c>
      <c r="G119" s="17" t="s">
        <v>47</v>
      </c>
      <c r="H119" s="19"/>
    </row>
    <row r="120" ht="22.5" hidden="1" customHeight="1">
      <c r="A120" s="4" t="s">
        <v>30</v>
      </c>
      <c r="B120" s="4">
        <v>2025.0</v>
      </c>
      <c r="C120" s="4" t="s">
        <v>33</v>
      </c>
      <c r="D120" s="4" t="s">
        <v>228</v>
      </c>
      <c r="E120" s="4" t="s">
        <v>41</v>
      </c>
      <c r="F120" s="6" t="str">
        <f>IFERROR(VLOOKUP(G120, 'Padronização'!A:C, 3, FALSE), "")</f>
        <v>Emergência sem evacuação clara</v>
      </c>
      <c r="G120" s="17" t="s">
        <v>43</v>
      </c>
      <c r="H120" s="19"/>
    </row>
    <row r="121" ht="22.5" hidden="1" customHeight="1">
      <c r="A121" s="4" t="s">
        <v>30</v>
      </c>
      <c r="B121" s="4">
        <v>2025.0</v>
      </c>
      <c r="C121" s="4" t="s">
        <v>33</v>
      </c>
      <c r="D121" s="4" t="s">
        <v>229</v>
      </c>
      <c r="E121" s="4" t="s">
        <v>41</v>
      </c>
      <c r="F121" s="6" t="str">
        <f>IFERROR(VLOOKUP(G121, 'Padronização'!A:C, 3, FALSE), "")</f>
        <v>Emergência sem evacuação clara</v>
      </c>
      <c r="G121" s="17" t="s">
        <v>43</v>
      </c>
      <c r="H121" s="19"/>
    </row>
    <row r="122" ht="22.5" customHeight="1">
      <c r="A122" s="4" t="s">
        <v>30</v>
      </c>
      <c r="B122" s="4">
        <v>2025.0</v>
      </c>
      <c r="C122" s="4" t="s">
        <v>33</v>
      </c>
      <c r="D122" s="4" t="s">
        <v>230</v>
      </c>
      <c r="E122" s="4" t="s">
        <v>37</v>
      </c>
      <c r="F122" s="6" t="str">
        <f>IFERROR(VLOOKUP(G122, 'Padronização'!A:C, 3, FALSE), "")</f>
        <v>ABM/MAS aplicado à evacuação</v>
      </c>
      <c r="G122" s="17" t="s">
        <v>45</v>
      </c>
      <c r="H122" s="19"/>
    </row>
    <row r="123" ht="22.5" customHeight="1">
      <c r="A123" s="4" t="s">
        <v>30</v>
      </c>
      <c r="B123" s="4">
        <v>2025.0</v>
      </c>
      <c r="C123" s="4" t="s">
        <v>33</v>
      </c>
      <c r="D123" s="4" t="s">
        <v>231</v>
      </c>
      <c r="E123" s="4" t="s">
        <v>37</v>
      </c>
      <c r="F123" s="6" t="str">
        <f>IFERROR(VLOOKUP(G123, 'Padronização'!A:C, 3, FALSE), "")</f>
        <v>ABM/MAS aplicado à evacuação</v>
      </c>
      <c r="G123" s="17" t="s">
        <v>45</v>
      </c>
      <c r="H123" s="19"/>
    </row>
    <row r="124" ht="22.5" customHeight="1">
      <c r="A124" s="4" t="s">
        <v>30</v>
      </c>
      <c r="B124" s="4">
        <v>2025.0</v>
      </c>
      <c r="C124" s="4" t="s">
        <v>33</v>
      </c>
      <c r="D124" s="4" t="s">
        <v>233</v>
      </c>
      <c r="E124" s="4" t="s">
        <v>37</v>
      </c>
      <c r="F124" s="6" t="str">
        <f>IFERROR(VLOOKUP(G124, 'Padronização'!A:C, 3, FALSE), "")</f>
        <v>ABM/MAS focado em comportamento humano cognitivo</v>
      </c>
      <c r="G124" s="17" t="s">
        <v>47</v>
      </c>
      <c r="H124" s="19"/>
    </row>
    <row r="125" ht="22.5" hidden="1" customHeight="1">
      <c r="A125" s="4" t="s">
        <v>30</v>
      </c>
      <c r="B125" s="4">
        <v>2025.0</v>
      </c>
      <c r="C125" s="4" t="s">
        <v>33</v>
      </c>
      <c r="D125" s="4" t="s">
        <v>234</v>
      </c>
      <c r="E125" s="4" t="s">
        <v>8</v>
      </c>
      <c r="F125" s="6" t="str">
        <f>IFERROR(VLOOKUP(G125, 'Padronização'!A:C, 3, FALSE), "")</f>
        <v>Artigo metodológico genérico (framework, design, how-to)</v>
      </c>
      <c r="G125" s="17" t="s">
        <v>27</v>
      </c>
      <c r="H125" s="19"/>
    </row>
    <row r="126" ht="22.5" hidden="1" customHeight="1">
      <c r="A126" s="4" t="s">
        <v>30</v>
      </c>
      <c r="B126" s="4">
        <v>2025.0</v>
      </c>
      <c r="C126" s="4" t="s">
        <v>33</v>
      </c>
      <c r="D126" s="4" t="s">
        <v>235</v>
      </c>
      <c r="E126" s="4" t="s">
        <v>41</v>
      </c>
      <c r="F126" s="6" t="str">
        <f>IFERROR(VLOOKUP(G126, 'Padronização'!A:C, 3, FALSE), "")</f>
        <v>Emergência sem evacuação clara</v>
      </c>
      <c r="G126" s="17" t="s">
        <v>43</v>
      </c>
      <c r="H126" s="19"/>
    </row>
    <row r="127" ht="22.5" hidden="1" customHeight="1">
      <c r="A127" s="4" t="s">
        <v>30</v>
      </c>
      <c r="B127" s="4">
        <v>2025.0</v>
      </c>
      <c r="C127" s="4" t="s">
        <v>33</v>
      </c>
      <c r="D127" s="4" t="s">
        <v>236</v>
      </c>
      <c r="E127" s="4" t="s">
        <v>41</v>
      </c>
      <c r="F127" s="6" t="str">
        <f>IFERROR(VLOOKUP(G127, 'Padronização'!A:C, 3, FALSE), "")</f>
        <v>Emergência sem evacuação clara</v>
      </c>
      <c r="G127" s="17" t="s">
        <v>43</v>
      </c>
      <c r="H127" s="19"/>
    </row>
    <row r="128" ht="22.5" hidden="1" customHeight="1">
      <c r="A128" s="4" t="s">
        <v>30</v>
      </c>
      <c r="B128" s="4">
        <v>2025.0</v>
      </c>
      <c r="C128" s="4" t="s">
        <v>87</v>
      </c>
      <c r="D128" s="4" t="s">
        <v>237</v>
      </c>
      <c r="E128" s="4" t="s">
        <v>8</v>
      </c>
      <c r="F128" s="6" t="str">
        <f>IFERROR(VLOOKUP(G128, 'Padronização'!A:C, 3, FALSE), "")</f>
        <v>Não aborda cenário de crise ou desastre</v>
      </c>
      <c r="G128" s="17" t="s">
        <v>31</v>
      </c>
      <c r="H128" s="19"/>
    </row>
    <row r="129" ht="22.5" hidden="1" customHeight="1">
      <c r="A129" s="4" t="s">
        <v>30</v>
      </c>
      <c r="B129" s="4">
        <v>2025.0</v>
      </c>
      <c r="C129" s="4" t="s">
        <v>87</v>
      </c>
      <c r="D129" s="4" t="s">
        <v>238</v>
      </c>
      <c r="E129" s="4" t="s">
        <v>41</v>
      </c>
      <c r="F129" s="6" t="str">
        <f>IFERROR(VLOOKUP(G129, 'Padronização'!A:C, 3, FALSE), "")</f>
        <v>Emergência sem evacuação clara</v>
      </c>
      <c r="G129" s="17" t="s">
        <v>43</v>
      </c>
      <c r="H129" s="19"/>
    </row>
    <row r="130" ht="22.5" hidden="1" customHeight="1">
      <c r="A130" s="4" t="s">
        <v>30</v>
      </c>
      <c r="B130" s="4">
        <v>2025.0</v>
      </c>
      <c r="C130" s="4" t="s">
        <v>87</v>
      </c>
      <c r="D130" s="4" t="s">
        <v>239</v>
      </c>
      <c r="E130" s="4" t="s">
        <v>41</v>
      </c>
      <c r="F130" s="6" t="str">
        <f>IFERROR(VLOOKUP(G130, 'Padronização'!A:C, 3, FALSE), "")</f>
        <v>Emergência sem evacuação clara</v>
      </c>
      <c r="G130" s="17" t="s">
        <v>43</v>
      </c>
      <c r="H130" s="19"/>
    </row>
    <row r="131" ht="22.5" customHeight="1">
      <c r="A131" s="4" t="s">
        <v>30</v>
      </c>
      <c r="B131" s="4">
        <v>2025.0</v>
      </c>
      <c r="C131" s="4" t="s">
        <v>33</v>
      </c>
      <c r="D131" s="4" t="s">
        <v>241</v>
      </c>
      <c r="E131" s="4" t="s">
        <v>37</v>
      </c>
      <c r="F131" s="6" t="str">
        <f>IFERROR(VLOOKUP(G131, 'Padronização'!A:C, 3, FALSE), "")</f>
        <v>ABM/MAS aplicado à evacuação</v>
      </c>
      <c r="G131" s="17" t="s">
        <v>45</v>
      </c>
      <c r="H131" s="19"/>
    </row>
    <row r="132" ht="22.5" hidden="1" customHeight="1">
      <c r="A132" s="4" t="s">
        <v>30</v>
      </c>
      <c r="B132" s="4">
        <v>2025.0</v>
      </c>
      <c r="C132" s="4" t="s">
        <v>87</v>
      </c>
      <c r="D132" s="4" t="s">
        <v>242</v>
      </c>
      <c r="E132" s="4" t="s">
        <v>41</v>
      </c>
      <c r="F132" s="6" t="str">
        <f>IFERROR(VLOOKUP(G132, 'Padronização'!A:C, 3, FALSE), "")</f>
        <v>Emergência sem evacuação clara</v>
      </c>
      <c r="G132" s="17" t="s">
        <v>43</v>
      </c>
      <c r="H132" s="19"/>
    </row>
    <row r="133" ht="22.5" customHeight="1">
      <c r="A133" s="4" t="s">
        <v>30</v>
      </c>
      <c r="B133" s="4">
        <v>2025.0</v>
      </c>
      <c r="C133" s="4" t="s">
        <v>87</v>
      </c>
      <c r="D133" s="4" t="s">
        <v>243</v>
      </c>
      <c r="E133" s="4" t="s">
        <v>37</v>
      </c>
      <c r="F133" s="6" t="str">
        <f>IFERROR(VLOOKUP(G133, 'Padronização'!A:C, 3, FALSE), "")</f>
        <v>ABM/MAS aplicado à evacuação</v>
      </c>
      <c r="G133" s="17" t="s">
        <v>45</v>
      </c>
      <c r="H133" s="19"/>
    </row>
    <row r="134" ht="22.5" customHeight="1">
      <c r="A134" s="4" t="s">
        <v>30</v>
      </c>
      <c r="B134" s="4">
        <v>2025.0</v>
      </c>
      <c r="C134" s="4" t="s">
        <v>87</v>
      </c>
      <c r="D134" s="4" t="s">
        <v>244</v>
      </c>
      <c r="E134" s="4" t="s">
        <v>37</v>
      </c>
      <c r="F134" s="6" t="str">
        <f>IFERROR(VLOOKUP(G134, 'Padronização'!A:C, 3, FALSE), "")</f>
        <v>ABM/MAS aplicado à evacuação</v>
      </c>
      <c r="G134" s="17" t="s">
        <v>45</v>
      </c>
      <c r="H134" s="19"/>
    </row>
    <row r="135" ht="22.5" customHeight="1">
      <c r="A135" s="4" t="s">
        <v>30</v>
      </c>
      <c r="B135" s="4">
        <v>2025.0</v>
      </c>
      <c r="C135" s="4" t="s">
        <v>33</v>
      </c>
      <c r="D135" s="4" t="s">
        <v>245</v>
      </c>
      <c r="E135" s="4" t="s">
        <v>37</v>
      </c>
      <c r="F135" s="6" t="str">
        <f>IFERROR(VLOOKUP(G135, 'Padronização'!A:C, 3, FALSE), "")</f>
        <v>ABM/MAS aplicado à evacuação</v>
      </c>
      <c r="G135" s="17" t="s">
        <v>45</v>
      </c>
      <c r="H135" s="19"/>
    </row>
    <row r="136" ht="22.5" customHeight="1">
      <c r="A136" s="4" t="s">
        <v>30</v>
      </c>
      <c r="B136" s="4">
        <v>2025.0</v>
      </c>
      <c r="C136" s="4" t="s">
        <v>87</v>
      </c>
      <c r="D136" s="4" t="s">
        <v>247</v>
      </c>
      <c r="E136" s="4" t="s">
        <v>37</v>
      </c>
      <c r="F136" s="6" t="str">
        <f>IFERROR(VLOOKUP(G136, 'Padronização'!A:C, 3, FALSE), "")</f>
        <v>ABM/MAS aplicado à evacuação</v>
      </c>
      <c r="G136" s="17" t="s">
        <v>45</v>
      </c>
      <c r="H136" s="19"/>
    </row>
    <row r="137" ht="22.5" hidden="1" customHeight="1">
      <c r="A137" s="4" t="s">
        <v>30</v>
      </c>
      <c r="B137" s="4">
        <v>2025.0</v>
      </c>
      <c r="C137" s="4" t="s">
        <v>33</v>
      </c>
      <c r="D137" s="4" t="s">
        <v>248</v>
      </c>
      <c r="E137" s="4" t="s">
        <v>41</v>
      </c>
      <c r="F137" s="6" t="str">
        <f>IFERROR(VLOOKUP(G137, 'Padronização'!A:C, 3, FALSE), "")</f>
        <v>Emergência sem evacuação clara</v>
      </c>
      <c r="G137" s="17" t="s">
        <v>43</v>
      </c>
      <c r="H137" s="19"/>
    </row>
    <row r="138" ht="22.5" hidden="1" customHeight="1">
      <c r="A138" s="4" t="s">
        <v>30</v>
      </c>
      <c r="B138" s="4">
        <v>2025.0</v>
      </c>
      <c r="C138" s="4" t="s">
        <v>33</v>
      </c>
      <c r="D138" s="4" t="s">
        <v>249</v>
      </c>
      <c r="E138" s="4" t="s">
        <v>8</v>
      </c>
      <c r="F138" s="6" t="str">
        <f>IFERROR(VLOOKUP(G138, 'Padronização'!A:C, 3, FALSE), "")</f>
        <v>Não aborda cenário de crise ou desastre</v>
      </c>
      <c r="G138" s="17" t="s">
        <v>31</v>
      </c>
      <c r="H138" s="19"/>
    </row>
    <row r="139" ht="22.5" customHeight="1">
      <c r="A139" s="4" t="s">
        <v>30</v>
      </c>
      <c r="B139" s="4">
        <v>2025.0</v>
      </c>
      <c r="C139" s="4" t="s">
        <v>33</v>
      </c>
      <c r="D139" s="4" t="s">
        <v>251</v>
      </c>
      <c r="E139" s="4" t="s">
        <v>37</v>
      </c>
      <c r="F139" s="6" t="str">
        <f>IFERROR(VLOOKUP(G139, 'Padronização'!A:C, 3, FALSE), "")</f>
        <v>ABM/MAS aplicado à evacuação</v>
      </c>
      <c r="G139" s="17" t="s">
        <v>45</v>
      </c>
      <c r="H139" s="19"/>
    </row>
    <row r="140" ht="22.5" customHeight="1">
      <c r="A140" s="4" t="s">
        <v>30</v>
      </c>
      <c r="B140" s="4">
        <v>2025.0</v>
      </c>
      <c r="C140" s="4" t="s">
        <v>33</v>
      </c>
      <c r="D140" s="4" t="s">
        <v>252</v>
      </c>
      <c r="E140" s="4" t="s">
        <v>37</v>
      </c>
      <c r="F140" s="6" t="str">
        <f>IFERROR(VLOOKUP(G140, 'Padronização'!A:C, 3, FALSE), "")</f>
        <v>ABM/MAS aplicado à evacuação</v>
      </c>
      <c r="G140" s="17" t="s">
        <v>45</v>
      </c>
      <c r="H140" s="19"/>
    </row>
    <row r="141" ht="22.5" hidden="1" customHeight="1">
      <c r="A141" s="4" t="s">
        <v>30</v>
      </c>
      <c r="B141" s="4">
        <v>2025.0</v>
      </c>
      <c r="C141" s="4" t="s">
        <v>87</v>
      </c>
      <c r="D141" s="4" t="s">
        <v>254</v>
      </c>
      <c r="E141" s="4" t="s">
        <v>41</v>
      </c>
      <c r="F141" s="6" t="str">
        <f>IFERROR(VLOOKUP(G141, 'Padronização'!A:C, 3, FALSE), "")</f>
        <v>Emergência sem evacuação clara</v>
      </c>
      <c r="G141" s="17" t="s">
        <v>43</v>
      </c>
      <c r="H141" s="19"/>
    </row>
    <row r="142" ht="22.5" hidden="1" customHeight="1">
      <c r="A142" s="4" t="s">
        <v>30</v>
      </c>
      <c r="B142" s="4">
        <v>2025.0</v>
      </c>
      <c r="C142" s="4" t="s">
        <v>87</v>
      </c>
      <c r="D142" s="4" t="s">
        <v>255</v>
      </c>
      <c r="E142" s="4" t="s">
        <v>41</v>
      </c>
      <c r="F142" s="6" t="str">
        <f>IFERROR(VLOOKUP(G142, 'Padronização'!A:C, 3, FALSE), "")</f>
        <v>Emergência sem evacuação clara</v>
      </c>
      <c r="G142" s="17" t="s">
        <v>43</v>
      </c>
      <c r="H142" s="19"/>
    </row>
    <row r="143" ht="22.5" hidden="1" customHeight="1">
      <c r="A143" s="4" t="s">
        <v>30</v>
      </c>
      <c r="B143" s="4">
        <v>2025.0</v>
      </c>
      <c r="C143" s="4" t="s">
        <v>87</v>
      </c>
      <c r="D143" s="4" t="s">
        <v>256</v>
      </c>
      <c r="E143" s="4" t="s">
        <v>41</v>
      </c>
      <c r="F143" s="6" t="str">
        <f>IFERROR(VLOOKUP(G143, 'Padronização'!A:C, 3, FALSE), "")</f>
        <v>Emergência sem evacuação clara</v>
      </c>
      <c r="G143" s="17" t="s">
        <v>43</v>
      </c>
      <c r="H143" s="19"/>
    </row>
    <row r="144" ht="22.5" hidden="1" customHeight="1">
      <c r="A144" s="4" t="s">
        <v>30</v>
      </c>
      <c r="B144" s="4">
        <v>2025.0</v>
      </c>
      <c r="C144" s="4" t="s">
        <v>87</v>
      </c>
      <c r="D144" s="4" t="s">
        <v>257</v>
      </c>
      <c r="E144" s="4" t="s">
        <v>41</v>
      </c>
      <c r="F144" s="6" t="str">
        <f>IFERROR(VLOOKUP(G144, 'Padronização'!A:C, 3, FALSE), "")</f>
        <v>Emergência sem evacuação clara</v>
      </c>
      <c r="G144" s="17" t="s">
        <v>43</v>
      </c>
      <c r="H144" s="19"/>
    </row>
    <row r="145" ht="22.5" hidden="1" customHeight="1">
      <c r="A145" s="4" t="s">
        <v>30</v>
      </c>
      <c r="B145" s="4">
        <v>2025.0</v>
      </c>
      <c r="C145" s="4" t="s">
        <v>87</v>
      </c>
      <c r="D145" s="4" t="s">
        <v>258</v>
      </c>
      <c r="E145" s="4" t="s">
        <v>41</v>
      </c>
      <c r="F145" s="6" t="str">
        <f>IFERROR(VLOOKUP(G145, 'Padronização'!A:C, 3, FALSE), "")</f>
        <v>Emergência sem evacuação clara</v>
      </c>
      <c r="G145" s="17" t="s">
        <v>43</v>
      </c>
      <c r="H145" s="19"/>
    </row>
    <row r="146" ht="22.5" customHeight="1">
      <c r="A146" s="4" t="s">
        <v>30</v>
      </c>
      <c r="B146" s="4">
        <v>2025.0</v>
      </c>
      <c r="C146" s="4" t="s">
        <v>87</v>
      </c>
      <c r="D146" s="4" t="s">
        <v>260</v>
      </c>
      <c r="E146" s="4" t="s">
        <v>37</v>
      </c>
      <c r="F146" s="6" t="str">
        <f>IFERROR(VLOOKUP(G146, 'Padronização'!A:C, 3, FALSE), "")</f>
        <v>ABM/MAS focado em comportamento humano cognitivo</v>
      </c>
      <c r="G146" s="17" t="s">
        <v>47</v>
      </c>
      <c r="H146" s="19"/>
    </row>
    <row r="147" ht="22.5" hidden="1" customHeight="1">
      <c r="A147" s="4" t="s">
        <v>30</v>
      </c>
      <c r="B147" s="4">
        <v>2025.0</v>
      </c>
      <c r="C147" s="4" t="s">
        <v>33</v>
      </c>
      <c r="D147" s="4" t="s">
        <v>261</v>
      </c>
      <c r="E147" s="4" t="s">
        <v>41</v>
      </c>
      <c r="F147" s="6" t="str">
        <f>IFERROR(VLOOKUP(G147, 'Padronização'!A:C, 3, FALSE), "")</f>
        <v>Emergência sem evacuação clara</v>
      </c>
      <c r="G147" s="17" t="s">
        <v>43</v>
      </c>
      <c r="H147" s="19"/>
    </row>
    <row r="148" ht="22.5" hidden="1" customHeight="1">
      <c r="A148" s="4" t="s">
        <v>30</v>
      </c>
      <c r="B148" s="4">
        <v>2025.0</v>
      </c>
      <c r="C148" s="4" t="s">
        <v>87</v>
      </c>
      <c r="D148" s="4" t="s">
        <v>262</v>
      </c>
      <c r="E148" s="4" t="s">
        <v>8</v>
      </c>
      <c r="F148" s="6" t="str">
        <f>IFERROR(VLOOKUP(G148, 'Padronização'!A:C, 3, FALSE), "")</f>
        <v>Não aborda cenário de crise ou desastre</v>
      </c>
      <c r="G148" s="17" t="s">
        <v>31</v>
      </c>
      <c r="H148" s="19"/>
    </row>
    <row r="149" ht="22.5" customHeight="1">
      <c r="A149" s="4" t="s">
        <v>30</v>
      </c>
      <c r="B149" s="4">
        <v>2025.0</v>
      </c>
      <c r="C149" s="4" t="s">
        <v>87</v>
      </c>
      <c r="D149" s="4" t="s">
        <v>264</v>
      </c>
      <c r="E149" s="4" t="s">
        <v>37</v>
      </c>
      <c r="F149" s="6" t="str">
        <f>IFERROR(VLOOKUP(G149, 'Padronização'!A:C, 3, FALSE), "")</f>
        <v>ABM/MAS aplicado à evacuação</v>
      </c>
      <c r="G149" s="17" t="s">
        <v>45</v>
      </c>
      <c r="H149" s="19"/>
    </row>
    <row r="150" ht="22.5" hidden="1" customHeight="1">
      <c r="A150" s="4" t="s">
        <v>30</v>
      </c>
      <c r="B150" s="4">
        <v>2025.0</v>
      </c>
      <c r="C150" s="4" t="s">
        <v>87</v>
      </c>
      <c r="D150" s="4" t="s">
        <v>265</v>
      </c>
      <c r="E150" s="4" t="s">
        <v>41</v>
      </c>
      <c r="F150" s="6" t="str">
        <f>IFERROR(VLOOKUP(G150, 'Padronização'!A:C, 3, FALSE), "")</f>
        <v>Emergência sem evacuação clara</v>
      </c>
      <c r="G150" s="17" t="s">
        <v>43</v>
      </c>
      <c r="H150" s="19"/>
    </row>
    <row r="151" ht="22.5" hidden="1" customHeight="1">
      <c r="A151" s="4" t="s">
        <v>30</v>
      </c>
      <c r="B151" s="4">
        <v>2025.0</v>
      </c>
      <c r="C151" s="4" t="s">
        <v>87</v>
      </c>
      <c r="D151" s="4" t="s">
        <v>266</v>
      </c>
      <c r="E151" s="4" t="s">
        <v>8</v>
      </c>
      <c r="F151" s="6" t="str">
        <f>IFERROR(VLOOKUP(G151, 'Padronização'!A:C, 3, FALSE), "")</f>
        <v>Não aborda cenário de crise ou desastre</v>
      </c>
      <c r="G151" s="17" t="s">
        <v>31</v>
      </c>
      <c r="H151" s="19"/>
    </row>
    <row r="152" ht="22.5" hidden="1" customHeight="1">
      <c r="A152" s="4" t="s">
        <v>30</v>
      </c>
      <c r="B152" s="4">
        <v>2025.0</v>
      </c>
      <c r="C152" s="4" t="s">
        <v>87</v>
      </c>
      <c r="D152" s="4" t="s">
        <v>267</v>
      </c>
      <c r="E152" s="4" t="s">
        <v>41</v>
      </c>
      <c r="F152" s="6" t="str">
        <f>IFERROR(VLOOKUP(G152, 'Padronização'!A:C, 3, FALSE), "")</f>
        <v>Emergência sem evacuação clara</v>
      </c>
      <c r="G152" s="17" t="s">
        <v>43</v>
      </c>
      <c r="H152" s="19"/>
    </row>
    <row r="153" ht="22.5" customHeight="1">
      <c r="A153" s="4" t="s">
        <v>30</v>
      </c>
      <c r="B153" s="4">
        <v>2025.0</v>
      </c>
      <c r="C153" s="4" t="s">
        <v>87</v>
      </c>
      <c r="D153" s="4" t="s">
        <v>268</v>
      </c>
      <c r="E153" s="4" t="s">
        <v>37</v>
      </c>
      <c r="F153" s="6" t="str">
        <f>IFERROR(VLOOKUP(G153, 'Padronização'!A:C, 3, FALSE), "")</f>
        <v>ABM/MAS focado em comportamento humano cognitivo</v>
      </c>
      <c r="G153" s="17" t="s">
        <v>47</v>
      </c>
      <c r="H153" s="19"/>
    </row>
    <row r="154" ht="22.5" customHeight="1">
      <c r="A154" s="4" t="s">
        <v>30</v>
      </c>
      <c r="B154" s="4">
        <v>2025.0</v>
      </c>
      <c r="C154" s="4" t="s">
        <v>33</v>
      </c>
      <c r="D154" s="4" t="s">
        <v>269</v>
      </c>
      <c r="E154" s="4" t="s">
        <v>37</v>
      </c>
      <c r="F154" s="6" t="str">
        <f>IFERROR(VLOOKUP(G154, 'Padronização'!A:C, 3, FALSE), "")</f>
        <v>ABM/MAS aplicado à evacuação</v>
      </c>
      <c r="G154" s="17" t="s">
        <v>45</v>
      </c>
      <c r="H154" s="19"/>
    </row>
    <row r="155" ht="22.5" customHeight="1">
      <c r="A155" s="4" t="s">
        <v>30</v>
      </c>
      <c r="B155" s="4">
        <v>2025.0</v>
      </c>
      <c r="C155" s="4" t="s">
        <v>33</v>
      </c>
      <c r="D155" s="4" t="s">
        <v>270</v>
      </c>
      <c r="E155" s="4" t="s">
        <v>37</v>
      </c>
      <c r="F155" s="6" t="str">
        <f>IFERROR(VLOOKUP(G155, 'Padronização'!A:C, 3, FALSE), "")</f>
        <v>ABM/MAS aplicado à evacuação</v>
      </c>
      <c r="G155" s="17" t="s">
        <v>45</v>
      </c>
      <c r="H155" s="19"/>
    </row>
    <row r="156" ht="22.5" hidden="1" customHeight="1">
      <c r="A156" s="4" t="s">
        <v>30</v>
      </c>
      <c r="B156" s="4">
        <v>2025.0</v>
      </c>
      <c r="C156" s="4" t="s">
        <v>33</v>
      </c>
      <c r="D156" s="4" t="s">
        <v>272</v>
      </c>
      <c r="E156" s="4" t="s">
        <v>41</v>
      </c>
      <c r="F156" s="6" t="str">
        <f>IFERROR(VLOOKUP(G156, 'Padronização'!A:C, 3, FALSE), "")</f>
        <v>Emergência sem evacuação clara</v>
      </c>
      <c r="G156" s="17" t="s">
        <v>43</v>
      </c>
      <c r="H156" s="19"/>
    </row>
    <row r="157" ht="22.5" hidden="1" customHeight="1">
      <c r="A157" s="4" t="s">
        <v>30</v>
      </c>
      <c r="B157" s="4">
        <v>2025.0</v>
      </c>
      <c r="C157" s="4" t="s">
        <v>33</v>
      </c>
      <c r="D157" s="4" t="s">
        <v>273</v>
      </c>
      <c r="E157" s="4" t="s">
        <v>8</v>
      </c>
      <c r="F157" s="6" t="str">
        <f>IFERROR(VLOOKUP(G157, 'Padronização'!A:C, 3, FALSE), "")</f>
        <v>Não aborda cenário de crise ou desastre</v>
      </c>
      <c r="G157" s="17" t="s">
        <v>31</v>
      </c>
      <c r="H157" s="19"/>
    </row>
    <row r="158" ht="22.5" hidden="1" customHeight="1">
      <c r="A158" s="4" t="s">
        <v>30</v>
      </c>
      <c r="B158" s="4">
        <v>2025.0</v>
      </c>
      <c r="C158" s="4" t="s">
        <v>33</v>
      </c>
      <c r="D158" s="4" t="s">
        <v>274</v>
      </c>
      <c r="E158" s="4" t="s">
        <v>8</v>
      </c>
      <c r="F158" s="6" t="str">
        <f>IFERROR(VLOOKUP(G158, 'Padronização'!A:C, 3, FALSE), "")</f>
        <v>Artigo metodológico genérico (framework, design, how-to)</v>
      </c>
      <c r="G158" s="17" t="s">
        <v>27</v>
      </c>
      <c r="H158" s="19"/>
    </row>
    <row r="159" ht="22.5" customHeight="1">
      <c r="A159" s="4" t="s">
        <v>30</v>
      </c>
      <c r="B159" s="4">
        <v>2025.0</v>
      </c>
      <c r="C159" s="4" t="s">
        <v>33</v>
      </c>
      <c r="D159" s="4" t="s">
        <v>275</v>
      </c>
      <c r="E159" s="4" t="s">
        <v>37</v>
      </c>
      <c r="F159" s="6" t="str">
        <f>IFERROR(VLOOKUP(G159, 'Padronização'!A:C, 3, FALSE), "")</f>
        <v>ABM/MAS focado em comportamento humano cognitivo</v>
      </c>
      <c r="G159" s="17" t="s">
        <v>47</v>
      </c>
      <c r="H159" s="19"/>
    </row>
    <row r="160" ht="22.5" hidden="1" customHeight="1">
      <c r="A160" s="4" t="s">
        <v>30</v>
      </c>
      <c r="B160" s="4">
        <v>2025.0</v>
      </c>
      <c r="C160" s="4" t="s">
        <v>33</v>
      </c>
      <c r="D160" s="4" t="s">
        <v>276</v>
      </c>
      <c r="E160" s="4" t="s">
        <v>41</v>
      </c>
      <c r="F160" s="6" t="str">
        <f>IFERROR(VLOOKUP(G160, 'Padronização'!A:C, 3, FALSE), "")</f>
        <v>Emergência sem evacuação clara</v>
      </c>
      <c r="G160" s="17" t="s">
        <v>43</v>
      </c>
      <c r="H160" s="19"/>
    </row>
    <row r="161" ht="22.5" hidden="1" customHeight="1">
      <c r="A161" s="4" t="s">
        <v>30</v>
      </c>
      <c r="B161" s="4">
        <v>2025.0</v>
      </c>
      <c r="C161" s="27" t="s">
        <v>87</v>
      </c>
      <c r="D161" s="4" t="s">
        <v>277</v>
      </c>
      <c r="E161" s="4" t="s">
        <v>8</v>
      </c>
      <c r="F161" s="6" t="str">
        <f>IFERROR(VLOOKUP(G161, 'Padronização'!A:C, 3, FALSE), "")</f>
        <v>Não aborda cenário de crise ou desastre</v>
      </c>
      <c r="G161" s="17" t="s">
        <v>31</v>
      </c>
      <c r="H161" s="19"/>
    </row>
    <row r="162" ht="22.5" customHeight="1">
      <c r="A162" s="4" t="s">
        <v>30</v>
      </c>
      <c r="B162" s="4">
        <v>2025.0</v>
      </c>
      <c r="C162" s="4" t="s">
        <v>87</v>
      </c>
      <c r="D162" s="4" t="s">
        <v>278</v>
      </c>
      <c r="E162" s="4" t="s">
        <v>37</v>
      </c>
      <c r="F162" s="6" t="str">
        <f>IFERROR(VLOOKUP(G162, 'Padronização'!A:C, 3, FALSE), "")</f>
        <v>ABM/MAS aplicado à evacuação</v>
      </c>
      <c r="G162" s="17" t="s">
        <v>45</v>
      </c>
      <c r="H162" s="19"/>
    </row>
    <row r="163" ht="22.5" hidden="1" customHeight="1">
      <c r="A163" s="4" t="s">
        <v>30</v>
      </c>
      <c r="B163" s="4">
        <v>2025.0</v>
      </c>
      <c r="C163" s="4" t="s">
        <v>33</v>
      </c>
      <c r="D163" s="4" t="s">
        <v>280</v>
      </c>
      <c r="E163" s="4" t="s">
        <v>8</v>
      </c>
      <c r="F163" s="6" t="str">
        <f>IFERROR(VLOOKUP(G163, 'Padronização'!A:C, 3, FALSE), "")</f>
        <v>Não aborda cenário de crise ou desastre</v>
      </c>
      <c r="G163" s="17" t="s">
        <v>31</v>
      </c>
      <c r="H163" s="19"/>
    </row>
    <row r="164" ht="22.5" customHeight="1">
      <c r="A164" s="4" t="s">
        <v>30</v>
      </c>
      <c r="B164" s="4">
        <v>2025.0</v>
      </c>
      <c r="C164" s="4" t="s">
        <v>87</v>
      </c>
      <c r="D164" s="4" t="s">
        <v>281</v>
      </c>
      <c r="E164" s="4" t="s">
        <v>37</v>
      </c>
      <c r="F164" s="6" t="str">
        <f>IFERROR(VLOOKUP(G164, 'Padronização'!A:C, 3, FALSE), "")</f>
        <v>ABM/MAS aplicado à evacuação</v>
      </c>
      <c r="G164" s="17" t="s">
        <v>45</v>
      </c>
      <c r="H164" s="19"/>
    </row>
    <row r="165" ht="22.5" hidden="1" customHeight="1">
      <c r="A165" s="4" t="s">
        <v>30</v>
      </c>
      <c r="B165" s="4">
        <v>2025.0</v>
      </c>
      <c r="C165" s="4" t="s">
        <v>87</v>
      </c>
      <c r="D165" s="4" t="s">
        <v>282</v>
      </c>
      <c r="E165" s="4" t="s">
        <v>41</v>
      </c>
      <c r="F165" s="6" t="str">
        <f>IFERROR(VLOOKUP(G165, 'Padronização'!A:C, 3, FALSE), "")</f>
        <v>Emergência sem evacuação clara</v>
      </c>
      <c r="G165" s="17" t="s">
        <v>43</v>
      </c>
      <c r="H165" s="19"/>
    </row>
    <row r="166" ht="22.5" hidden="1" customHeight="1">
      <c r="A166" s="4" t="s">
        <v>30</v>
      </c>
      <c r="B166" s="4">
        <v>2025.0</v>
      </c>
      <c r="C166" s="4" t="s">
        <v>87</v>
      </c>
      <c r="D166" s="4" t="s">
        <v>283</v>
      </c>
      <c r="E166" s="4" t="s">
        <v>41</v>
      </c>
      <c r="F166" s="6" t="str">
        <f>IFERROR(VLOOKUP(G166, 'Padronização'!A:C, 3, FALSE), "")</f>
        <v>Emergência sem evacuação clara</v>
      </c>
      <c r="G166" s="17" t="s">
        <v>43</v>
      </c>
      <c r="H166" s="19"/>
    </row>
    <row r="167" ht="22.5" customHeight="1">
      <c r="A167" s="4" t="s">
        <v>30</v>
      </c>
      <c r="B167" s="4">
        <v>2025.0</v>
      </c>
      <c r="C167" s="4" t="s">
        <v>87</v>
      </c>
      <c r="D167" s="4" t="s">
        <v>284</v>
      </c>
      <c r="E167" s="4" t="s">
        <v>37</v>
      </c>
      <c r="F167" s="6" t="str">
        <f>IFERROR(VLOOKUP(G167, 'Padronização'!A:C, 3, FALSE), "")</f>
        <v>ABM/MAS focado em comportamento humano cognitivo</v>
      </c>
      <c r="G167" s="17" t="s">
        <v>47</v>
      </c>
      <c r="H167" s="19"/>
    </row>
    <row r="168" ht="22.5" hidden="1" customHeight="1">
      <c r="A168" s="4" t="s">
        <v>30</v>
      </c>
      <c r="B168" s="4">
        <v>2025.0</v>
      </c>
      <c r="C168" s="4" t="s">
        <v>87</v>
      </c>
      <c r="D168" s="4" t="s">
        <v>287</v>
      </c>
      <c r="E168" s="4" t="s">
        <v>8</v>
      </c>
      <c r="F168" s="6" t="str">
        <f>IFERROR(VLOOKUP(G168, 'Padronização'!A:C, 3, FALSE), "")</f>
        <v>Emergência em saúde com foco operacional / Operação hospitalar</v>
      </c>
      <c r="G168" s="17" t="s">
        <v>38</v>
      </c>
      <c r="H168" s="19"/>
    </row>
    <row r="169" ht="22.5" hidden="1" customHeight="1">
      <c r="A169" s="4" t="s">
        <v>30</v>
      </c>
      <c r="B169" s="4">
        <v>2025.0</v>
      </c>
      <c r="C169" s="4" t="s">
        <v>87</v>
      </c>
      <c r="D169" s="4" t="s">
        <v>288</v>
      </c>
      <c r="E169" s="4" t="s">
        <v>8</v>
      </c>
      <c r="F169" s="6" t="str">
        <f>IFERROR(VLOOKUP(G169, 'Padronização'!A:C, 3, FALSE), "")</f>
        <v>Não aborda cenário de crise ou desastre</v>
      </c>
      <c r="G169" s="17" t="s">
        <v>31</v>
      </c>
      <c r="H169" s="19"/>
    </row>
    <row r="170" ht="22.5" hidden="1" customHeight="1">
      <c r="A170" s="4" t="s">
        <v>30</v>
      </c>
      <c r="B170" s="4">
        <v>2025.0</v>
      </c>
      <c r="C170" s="4" t="s">
        <v>87</v>
      </c>
      <c r="D170" s="4" t="s">
        <v>290</v>
      </c>
      <c r="E170" s="4" t="s">
        <v>8</v>
      </c>
      <c r="F170" s="6" t="str">
        <f>IFERROR(VLOOKUP(G170, 'Padronização'!A:C, 3, FALSE), "")</f>
        <v>Não aborda cenário de crise ou desastre</v>
      </c>
      <c r="G170" s="17" t="s">
        <v>31</v>
      </c>
      <c r="H170" s="19"/>
    </row>
    <row r="171" ht="22.5" hidden="1" customHeight="1">
      <c r="A171" s="4" t="s">
        <v>30</v>
      </c>
      <c r="B171" s="4">
        <v>2025.0</v>
      </c>
      <c r="C171" s="4" t="s">
        <v>87</v>
      </c>
      <c r="D171" s="4" t="s">
        <v>291</v>
      </c>
      <c r="E171" s="4" t="s">
        <v>41</v>
      </c>
      <c r="F171" s="6" t="str">
        <f>IFERROR(VLOOKUP(G171, 'Padronização'!A:C, 3, FALSE), "")</f>
        <v>Emergência sem evacuação clara</v>
      </c>
      <c r="G171" s="17" t="s">
        <v>43</v>
      </c>
      <c r="H171" s="19"/>
    </row>
    <row r="172" ht="22.5" hidden="1" customHeight="1">
      <c r="A172" s="4" t="s">
        <v>30</v>
      </c>
      <c r="B172" s="4">
        <v>2025.0</v>
      </c>
      <c r="C172" s="4" t="s">
        <v>33</v>
      </c>
      <c r="D172" s="4" t="s">
        <v>293</v>
      </c>
      <c r="E172" s="4" t="s">
        <v>8</v>
      </c>
      <c r="F172" s="6" t="str">
        <f>IFERROR(VLOOKUP(G172, 'Padronização'!A:C, 3, FALSE), "")</f>
        <v>Não aborda cenário de crise ou desastre</v>
      </c>
      <c r="G172" s="17" t="s">
        <v>31</v>
      </c>
      <c r="H172" s="19"/>
    </row>
    <row r="173" ht="22.5" hidden="1" customHeight="1">
      <c r="A173" s="4" t="s">
        <v>30</v>
      </c>
      <c r="B173" s="4">
        <v>2025.0</v>
      </c>
      <c r="C173" s="4" t="s">
        <v>87</v>
      </c>
      <c r="D173" s="4" t="s">
        <v>294</v>
      </c>
      <c r="E173" s="4" t="s">
        <v>8</v>
      </c>
      <c r="F173" s="6" t="str">
        <f>IFERROR(VLOOKUP(G173, 'Padronização'!A:C, 3, FALSE), "")</f>
        <v>Telecomunicações emergenciais / alocação de rede; foco técnico</v>
      </c>
      <c r="G173" s="17" t="s">
        <v>5</v>
      </c>
      <c r="H173" s="19"/>
    </row>
    <row r="174" ht="22.5" hidden="1" customHeight="1">
      <c r="A174" s="4" t="s">
        <v>30</v>
      </c>
      <c r="B174" s="4">
        <v>2025.0</v>
      </c>
      <c r="C174" s="4" t="s">
        <v>33</v>
      </c>
      <c r="D174" s="4" t="s">
        <v>295</v>
      </c>
      <c r="E174" s="4" t="s">
        <v>41</v>
      </c>
      <c r="F174" s="6" t="str">
        <f>IFERROR(VLOOKUP(G174, 'Padronização'!A:C, 3, FALSE), "")</f>
        <v>Emergência sem evacuação clara</v>
      </c>
      <c r="G174" s="17" t="s">
        <v>43</v>
      </c>
      <c r="H174" s="19"/>
    </row>
    <row r="175" ht="22.5" hidden="1" customHeight="1">
      <c r="A175" s="4" t="s">
        <v>30</v>
      </c>
      <c r="B175" s="4">
        <v>2025.0</v>
      </c>
      <c r="C175" s="4" t="s">
        <v>87</v>
      </c>
      <c r="D175" s="4" t="s">
        <v>297</v>
      </c>
      <c r="E175" s="4" t="s">
        <v>41</v>
      </c>
      <c r="F175" s="6" t="str">
        <f>IFERROR(VLOOKUP(G175, 'Padronização'!A:C, 3, FALSE), "")</f>
        <v>Emergência sem evacuação clara</v>
      </c>
      <c r="G175" s="17" t="s">
        <v>43</v>
      </c>
      <c r="H175" s="19"/>
    </row>
    <row r="176" ht="22.5" hidden="1" customHeight="1">
      <c r="A176" s="4" t="s">
        <v>30</v>
      </c>
      <c r="B176" s="4">
        <v>2025.0</v>
      </c>
      <c r="C176" s="4" t="s">
        <v>87</v>
      </c>
      <c r="D176" s="4" t="s">
        <v>299</v>
      </c>
      <c r="E176" s="4" t="s">
        <v>8</v>
      </c>
      <c r="F176" s="6" t="str">
        <f>IFERROR(VLOOKUP(G176, 'Padronização'!A:C, 3, FALSE), "")</f>
        <v>Supply chain / impacto econômico indireto</v>
      </c>
      <c r="G176" s="17" t="s">
        <v>34</v>
      </c>
      <c r="H176" s="19"/>
    </row>
    <row r="177" ht="22.5" hidden="1" customHeight="1">
      <c r="A177" s="29" t="s">
        <v>30</v>
      </c>
      <c r="B177" s="29">
        <v>2025.0</v>
      </c>
      <c r="C177" s="29" t="s">
        <v>87</v>
      </c>
      <c r="D177" s="29" t="s">
        <v>300</v>
      </c>
      <c r="E177" s="29" t="s">
        <v>8</v>
      </c>
      <c r="F177" s="6" t="str">
        <f>IFERROR(VLOOKUP(G177, 'Padronização'!A:C, 3, FALSE), "")</f>
        <v>Emergência em saúde com foco operacional / Operação hospitalar</v>
      </c>
      <c r="G177" s="17" t="s">
        <v>38</v>
      </c>
      <c r="H177" s="19"/>
    </row>
    <row r="178" ht="22.5" hidden="1" customHeight="1">
      <c r="A178" s="29" t="s">
        <v>30</v>
      </c>
      <c r="B178" s="29">
        <v>2025.0</v>
      </c>
      <c r="C178" s="29" t="s">
        <v>87</v>
      </c>
      <c r="D178" s="29" t="s">
        <v>301</v>
      </c>
      <c r="E178" s="29" t="s">
        <v>8</v>
      </c>
      <c r="F178" s="6" t="str">
        <f>IFERROR(VLOOKUP(G178, 'Padronização'!A:C, 3, FALSE), "")</f>
        <v>Emergência em saúde com foco operacional / Operação hospitalar</v>
      </c>
      <c r="G178" s="17" t="s">
        <v>38</v>
      </c>
      <c r="H178" s="30" t="s">
        <v>302</v>
      </c>
    </row>
    <row r="179" ht="22.5" hidden="1" customHeight="1">
      <c r="A179" s="4" t="s">
        <v>30</v>
      </c>
      <c r="B179" s="4">
        <v>2025.0</v>
      </c>
      <c r="C179" s="4" t="s">
        <v>33</v>
      </c>
      <c r="D179" s="4" t="s">
        <v>304</v>
      </c>
      <c r="E179" s="29" t="s">
        <v>8</v>
      </c>
      <c r="F179" s="6" t="str">
        <f>IFERROR(VLOOKUP(G179, 'Padronização'!A:C, 3, FALSE), "")</f>
        <v>Não aborda cenário de crise ou desastre</v>
      </c>
      <c r="G179" s="17" t="s">
        <v>31</v>
      </c>
      <c r="H179" s="19"/>
    </row>
    <row r="180" ht="22.5" hidden="1" customHeight="1">
      <c r="A180" s="4" t="s">
        <v>30</v>
      </c>
      <c r="B180" s="4">
        <v>2025.0</v>
      </c>
      <c r="C180" s="4" t="s">
        <v>87</v>
      </c>
      <c r="D180" s="4" t="s">
        <v>305</v>
      </c>
      <c r="E180" s="29" t="s">
        <v>8</v>
      </c>
      <c r="F180" s="6" t="str">
        <f>IFERROR(VLOOKUP(G180, 'Padronização'!A:C, 3, FALSE), "")</f>
        <v>Não aborda cenário de crise ou desastre</v>
      </c>
      <c r="G180" s="17" t="s">
        <v>31</v>
      </c>
      <c r="H180" s="19"/>
    </row>
    <row r="181" ht="22.5" hidden="1" customHeight="1">
      <c r="A181" s="4" t="s">
        <v>30</v>
      </c>
      <c r="B181" s="4">
        <v>2025.0</v>
      </c>
      <c r="C181" s="4" t="s">
        <v>33</v>
      </c>
      <c r="D181" s="4" t="s">
        <v>306</v>
      </c>
      <c r="E181" s="4" t="s">
        <v>41</v>
      </c>
      <c r="F181" s="6" t="str">
        <f>IFERROR(VLOOKUP(G181, 'Padronização'!A:C, 3, FALSE), "")</f>
        <v>Emergência sem evacuação clara</v>
      </c>
      <c r="G181" s="17" t="s">
        <v>43</v>
      </c>
      <c r="H181" s="19"/>
    </row>
    <row r="182" ht="22.5" hidden="1" customHeight="1">
      <c r="A182" s="4" t="s">
        <v>30</v>
      </c>
      <c r="B182" s="4">
        <v>2025.0</v>
      </c>
      <c r="C182" s="4" t="s">
        <v>33</v>
      </c>
      <c r="D182" s="4" t="s">
        <v>308</v>
      </c>
      <c r="E182" s="29" t="s">
        <v>8</v>
      </c>
      <c r="F182" s="6" t="str">
        <f>IFERROR(VLOOKUP(G182, 'Padronização'!A:C, 3, FALSE), "")</f>
        <v>Não aborda cenário de crise ou desastre</v>
      </c>
      <c r="G182" s="17" t="s">
        <v>31</v>
      </c>
      <c r="H182" s="19"/>
    </row>
    <row r="183" ht="22.5" hidden="1" customHeight="1">
      <c r="A183" s="4" t="s">
        <v>30</v>
      </c>
      <c r="B183" s="4">
        <v>2025.0</v>
      </c>
      <c r="C183" s="4" t="s">
        <v>87</v>
      </c>
      <c r="D183" s="4" t="s">
        <v>309</v>
      </c>
      <c r="E183" s="29" t="s">
        <v>8</v>
      </c>
      <c r="F183" s="6" t="str">
        <f>IFERROR(VLOOKUP(G183, 'Padronização'!A:C, 3, FALSE), "")</f>
        <v>Não aborda cenário de crise ou desastre</v>
      </c>
      <c r="G183" s="17" t="s">
        <v>31</v>
      </c>
      <c r="H183" s="19"/>
    </row>
    <row r="184" ht="22.5" hidden="1" customHeight="1">
      <c r="A184" s="4" t="s">
        <v>30</v>
      </c>
      <c r="B184" s="4">
        <v>2025.0</v>
      </c>
      <c r="C184" s="4" t="s">
        <v>87</v>
      </c>
      <c r="D184" s="4" t="s">
        <v>311</v>
      </c>
      <c r="E184" s="29" t="s">
        <v>8</v>
      </c>
      <c r="F184" s="6" t="str">
        <f>IFERROR(VLOOKUP(G184, 'Padronização'!A:C, 3, FALSE), "")</f>
        <v>Não aborda cenário de crise ou desastre</v>
      </c>
      <c r="G184" s="17" t="s">
        <v>31</v>
      </c>
      <c r="H184" s="19"/>
    </row>
    <row r="185" ht="22.5" hidden="1" customHeight="1">
      <c r="A185" s="4" t="s">
        <v>30</v>
      </c>
      <c r="B185" s="4">
        <v>2025.0</v>
      </c>
      <c r="C185" s="4" t="s">
        <v>33</v>
      </c>
      <c r="D185" s="4" t="s">
        <v>312</v>
      </c>
      <c r="E185" s="4" t="s">
        <v>41</v>
      </c>
      <c r="F185" s="6" t="str">
        <f>IFERROR(VLOOKUP(G185, 'Padronização'!A:C, 3, FALSE), "")</f>
        <v>Emergência sem evacuação clara</v>
      </c>
      <c r="G185" s="17" t="s">
        <v>43</v>
      </c>
      <c r="H185" s="19"/>
    </row>
    <row r="186" ht="22.5" hidden="1" customHeight="1">
      <c r="A186" s="4" t="s">
        <v>30</v>
      </c>
      <c r="B186" s="4">
        <v>2025.0</v>
      </c>
      <c r="C186" s="4" t="s">
        <v>87</v>
      </c>
      <c r="D186" s="4" t="s">
        <v>314</v>
      </c>
      <c r="E186" s="29" t="s">
        <v>8</v>
      </c>
      <c r="F186" s="6" t="str">
        <f>IFERROR(VLOOKUP(G186, 'Padronização'!A:C, 3, FALSE), "")</f>
        <v>Não aborda cenário de crise ou desastre</v>
      </c>
      <c r="G186" s="17" t="s">
        <v>31</v>
      </c>
      <c r="H186" s="19"/>
    </row>
    <row r="187" ht="22.5" hidden="1" customHeight="1">
      <c r="A187" s="4" t="s">
        <v>30</v>
      </c>
      <c r="B187" s="4">
        <v>2025.0</v>
      </c>
      <c r="C187" s="4" t="s">
        <v>33</v>
      </c>
      <c r="D187" s="4" t="s">
        <v>315</v>
      </c>
      <c r="E187" s="4" t="s">
        <v>41</v>
      </c>
      <c r="F187" s="6" t="str">
        <f>IFERROR(VLOOKUP(G187, 'Padronização'!A:C, 3, FALSE), "")</f>
        <v>Emergência sem evacuação clara</v>
      </c>
      <c r="G187" s="17" t="s">
        <v>43</v>
      </c>
      <c r="H187" s="19"/>
    </row>
    <row r="188" ht="22.5" hidden="1" customHeight="1">
      <c r="A188" s="4" t="s">
        <v>30</v>
      </c>
      <c r="B188" s="4">
        <v>2025.0</v>
      </c>
      <c r="C188" s="4" t="s">
        <v>33</v>
      </c>
      <c r="D188" s="4" t="s">
        <v>317</v>
      </c>
      <c r="E188" s="29" t="s">
        <v>8</v>
      </c>
      <c r="F188" s="6" t="str">
        <f>IFERROR(VLOOKUP(G188, 'Padronização'!A:C, 3, FALSE), "")</f>
        <v>Não aborda cenário de crise ou desastre</v>
      </c>
      <c r="G188" s="17" t="s">
        <v>31</v>
      </c>
      <c r="H188" s="19"/>
    </row>
    <row r="189" ht="22.5" hidden="1" customHeight="1">
      <c r="A189" s="4" t="s">
        <v>30</v>
      </c>
      <c r="B189" s="4">
        <v>2025.0</v>
      </c>
      <c r="C189" s="4" t="s">
        <v>33</v>
      </c>
      <c r="D189" s="4" t="s">
        <v>318</v>
      </c>
      <c r="E189" s="29" t="s">
        <v>8</v>
      </c>
      <c r="F189" s="6" t="str">
        <f>IFERROR(VLOOKUP(G189, 'Padronização'!A:C, 3, FALSE), "")</f>
        <v>Não aborda cenário de crise ou desastre</v>
      </c>
      <c r="G189" s="17" t="s">
        <v>31</v>
      </c>
      <c r="H189" s="19"/>
    </row>
    <row r="190" ht="22.5" hidden="1" customHeight="1">
      <c r="A190" s="4" t="s">
        <v>30</v>
      </c>
      <c r="B190" s="4">
        <v>2025.0</v>
      </c>
      <c r="C190" s="4" t="s">
        <v>87</v>
      </c>
      <c r="D190" s="4" t="s">
        <v>319</v>
      </c>
      <c r="E190" s="29" t="s">
        <v>8</v>
      </c>
      <c r="F190" s="6" t="str">
        <f>IFERROR(VLOOKUP(G190, 'Padronização'!A:C, 3, FALSE), "")</f>
        <v>Não aborda cenário de crise ou desastre</v>
      </c>
      <c r="G190" s="17" t="s">
        <v>31</v>
      </c>
      <c r="H190" s="19"/>
    </row>
    <row r="191" ht="22.5" hidden="1" customHeight="1">
      <c r="A191" s="4" t="s">
        <v>30</v>
      </c>
      <c r="B191" s="4">
        <v>2025.0</v>
      </c>
      <c r="C191" s="4" t="s">
        <v>33</v>
      </c>
      <c r="D191" s="4" t="s">
        <v>321</v>
      </c>
      <c r="E191" s="29" t="s">
        <v>8</v>
      </c>
      <c r="F191" s="6" t="str">
        <f>IFERROR(VLOOKUP(G191, 'Padronização'!A:C, 3, FALSE), "")</f>
        <v>Transporte / tráfego em operação normal</v>
      </c>
      <c r="G191" s="17" t="s">
        <v>19</v>
      </c>
      <c r="H191" s="19"/>
    </row>
    <row r="192" ht="22.5" hidden="1" customHeight="1">
      <c r="A192" s="4" t="s">
        <v>30</v>
      </c>
      <c r="B192" s="4">
        <v>2025.0</v>
      </c>
      <c r="C192" s="4" t="s">
        <v>33</v>
      </c>
      <c r="D192" s="4" t="s">
        <v>322</v>
      </c>
      <c r="E192" s="29" t="s">
        <v>8</v>
      </c>
      <c r="F192" s="6" t="str">
        <f>IFERROR(VLOOKUP(G192, 'Padronização'!A:C, 3, FALSE), "")</f>
        <v>Não aborda cenário de crise ou desastre</v>
      </c>
      <c r="G192" s="17" t="s">
        <v>31</v>
      </c>
      <c r="H192" s="19"/>
    </row>
    <row r="193" ht="22.5" hidden="1" customHeight="1">
      <c r="A193" s="4" t="s">
        <v>30</v>
      </c>
      <c r="B193" s="4">
        <v>2025.0</v>
      </c>
      <c r="C193" s="4" t="s">
        <v>87</v>
      </c>
      <c r="D193" s="4" t="s">
        <v>324</v>
      </c>
      <c r="E193" s="29" t="s">
        <v>8</v>
      </c>
      <c r="F193" s="6" t="str">
        <f>IFERROR(VLOOKUP(G193, 'Padronização'!A:C, 3, FALSE), "")</f>
        <v>Transporte / tráfego em operação normal</v>
      </c>
      <c r="G193" s="17" t="s">
        <v>19</v>
      </c>
      <c r="H193" s="19"/>
    </row>
    <row r="194" ht="22.5" hidden="1" customHeight="1">
      <c r="A194" s="4" t="s">
        <v>30</v>
      </c>
      <c r="B194" s="4">
        <v>2025.0</v>
      </c>
      <c r="C194" s="4" t="s">
        <v>87</v>
      </c>
      <c r="D194" s="4" t="s">
        <v>325</v>
      </c>
      <c r="E194" s="4" t="s">
        <v>41</v>
      </c>
      <c r="F194" s="6" t="str">
        <f>IFERROR(VLOOKUP(G194, 'Padronização'!A:C, 3, FALSE), "")</f>
        <v>Emergência sem evacuação clara</v>
      </c>
      <c r="G194" s="17" t="s">
        <v>43</v>
      </c>
      <c r="H194" s="19"/>
    </row>
    <row r="195" ht="22.5" hidden="1" customHeight="1">
      <c r="A195" s="4" t="s">
        <v>30</v>
      </c>
      <c r="B195" s="4">
        <v>2025.0</v>
      </c>
      <c r="C195" s="4" t="s">
        <v>33</v>
      </c>
      <c r="D195" s="4" t="s">
        <v>327</v>
      </c>
      <c r="E195" s="29" t="s">
        <v>8</v>
      </c>
      <c r="F195" s="6" t="str">
        <f>IFERROR(VLOOKUP(G195, 'Padronização'!A:C, 3, FALSE), "")</f>
        <v>Não aborda cenário de crise ou desastre</v>
      </c>
      <c r="G195" s="17" t="s">
        <v>31</v>
      </c>
      <c r="H195" s="19"/>
    </row>
    <row r="196" ht="22.5" hidden="1" customHeight="1">
      <c r="A196" s="4" t="s">
        <v>30</v>
      </c>
      <c r="B196" s="4">
        <v>2025.0</v>
      </c>
      <c r="C196" s="4" t="s">
        <v>87</v>
      </c>
      <c r="D196" s="4" t="s">
        <v>328</v>
      </c>
      <c r="E196" s="29" t="s">
        <v>8</v>
      </c>
      <c r="F196" s="6" t="str">
        <f>IFERROR(VLOOKUP(G196, 'Padronização'!A:C, 3, FALSE), "")</f>
        <v>Não aborda cenário de crise ou desastre</v>
      </c>
      <c r="G196" s="17" t="s">
        <v>31</v>
      </c>
      <c r="H196" s="19"/>
    </row>
    <row r="197" ht="22.5" hidden="1" customHeight="1">
      <c r="A197" s="4" t="s">
        <v>30</v>
      </c>
      <c r="B197" s="4">
        <v>2025.0</v>
      </c>
      <c r="C197" s="4" t="s">
        <v>87</v>
      </c>
      <c r="D197" s="4" t="s">
        <v>329</v>
      </c>
      <c r="E197" s="29" t="s">
        <v>8</v>
      </c>
      <c r="F197" s="6" t="str">
        <f>IFERROR(VLOOKUP(G197, 'Padronização'!A:C, 3, FALSE), "")</f>
        <v>Telecomunicações emergenciais / alocação de rede; foco técnico</v>
      </c>
      <c r="G197" s="17" t="s">
        <v>5</v>
      </c>
      <c r="H197" s="19"/>
    </row>
    <row r="198" ht="22.5" hidden="1" customHeight="1">
      <c r="A198" s="4" t="s">
        <v>30</v>
      </c>
      <c r="B198" s="4">
        <v>2025.0</v>
      </c>
      <c r="C198" s="4" t="s">
        <v>87</v>
      </c>
      <c r="D198" s="4" t="s">
        <v>331</v>
      </c>
      <c r="E198" s="29" t="s">
        <v>8</v>
      </c>
      <c r="F198" s="6" t="str">
        <f>IFERROR(VLOOKUP(G198, 'Padronização'!A:C, 3, FALSE), "")</f>
        <v>Não aborda cenário de crise ou desastre</v>
      </c>
      <c r="G198" s="17" t="s">
        <v>31</v>
      </c>
      <c r="H198" s="19"/>
    </row>
    <row r="199" ht="22.5" hidden="1" customHeight="1">
      <c r="A199" s="4" t="s">
        <v>30</v>
      </c>
      <c r="B199" s="4">
        <v>2025.0</v>
      </c>
      <c r="C199" s="4" t="s">
        <v>33</v>
      </c>
      <c r="D199" s="4" t="s">
        <v>332</v>
      </c>
      <c r="E199" s="29" t="s">
        <v>8</v>
      </c>
      <c r="F199" s="6" t="str">
        <f>IFERROR(VLOOKUP(G199, 'Padronização'!A:C, 3, FALSE), "")</f>
        <v>Não aborda cenário de crise ou desastre</v>
      </c>
      <c r="G199" s="17" t="s">
        <v>31</v>
      </c>
      <c r="H199" s="19"/>
    </row>
    <row r="200" ht="22.5" hidden="1" customHeight="1">
      <c r="A200" s="4" t="s">
        <v>30</v>
      </c>
      <c r="B200" s="4">
        <v>2025.0</v>
      </c>
      <c r="C200" s="4" t="s">
        <v>87</v>
      </c>
      <c r="D200" s="4" t="s">
        <v>333</v>
      </c>
      <c r="E200" s="29" t="s">
        <v>8</v>
      </c>
      <c r="F200" s="6" t="str">
        <f>IFERROR(VLOOKUP(G200, 'Padronização'!A:C, 3, FALSE), "")</f>
        <v>Não aborda cenário de crise ou desastre</v>
      </c>
      <c r="G200" s="17" t="s">
        <v>31</v>
      </c>
      <c r="H200" s="19"/>
    </row>
    <row r="201" ht="22.5" hidden="1" customHeight="1">
      <c r="A201" s="4" t="s">
        <v>30</v>
      </c>
      <c r="B201" s="4">
        <v>2025.0</v>
      </c>
      <c r="C201" s="4" t="s">
        <v>87</v>
      </c>
      <c r="D201" s="4" t="s">
        <v>334</v>
      </c>
      <c r="E201" s="29" t="s">
        <v>8</v>
      </c>
      <c r="F201" s="6" t="str">
        <f>IFERROR(VLOOKUP(G201, 'Padronização'!A:C, 3, FALSE), "")</f>
        <v>Não aborda cenário de crise ou desastre</v>
      </c>
      <c r="G201" s="17" t="s">
        <v>31</v>
      </c>
      <c r="H201" s="19"/>
    </row>
    <row r="202" ht="22.5" hidden="1" customHeight="1">
      <c r="A202" s="4" t="s">
        <v>30</v>
      </c>
      <c r="B202" s="4">
        <v>2025.0</v>
      </c>
      <c r="C202" s="4" t="s">
        <v>33</v>
      </c>
      <c r="D202" s="4" t="s">
        <v>335</v>
      </c>
      <c r="E202" s="29" t="s">
        <v>8</v>
      </c>
      <c r="F202" s="6" t="str">
        <f>IFERROR(VLOOKUP(G202, 'Padronização'!A:C, 3, FALSE), "")</f>
        <v>Não aborda cenário de crise ou desastre</v>
      </c>
      <c r="G202" s="17" t="s">
        <v>31</v>
      </c>
      <c r="H202" s="19"/>
    </row>
    <row r="203" ht="22.5" hidden="1" customHeight="1">
      <c r="A203" s="4" t="s">
        <v>30</v>
      </c>
      <c r="B203" s="4">
        <v>2025.0</v>
      </c>
      <c r="C203" s="4" t="s">
        <v>33</v>
      </c>
      <c r="D203" s="4" t="s">
        <v>336</v>
      </c>
      <c r="E203" s="29" t="s">
        <v>8</v>
      </c>
      <c r="F203" s="6" t="str">
        <f>IFERROR(VLOOKUP(G203, 'Padronização'!A:C, 3, FALSE), "")</f>
        <v>Transporte / tráfego em operação normal</v>
      </c>
      <c r="G203" s="17" t="s">
        <v>19</v>
      </c>
      <c r="H203" s="19"/>
    </row>
    <row r="204" ht="22.5" hidden="1" customHeight="1">
      <c r="A204" s="4" t="s">
        <v>30</v>
      </c>
      <c r="B204" s="4">
        <v>2025.0</v>
      </c>
      <c r="C204" s="4" t="s">
        <v>87</v>
      </c>
      <c r="D204" s="4" t="s">
        <v>337</v>
      </c>
      <c r="E204" s="29" t="s">
        <v>8</v>
      </c>
      <c r="F204" s="6" t="str">
        <f>IFERROR(VLOOKUP(G204, 'Padronização'!A:C, 3, FALSE), "")</f>
        <v>Telecomunicações emergenciais / alocação de rede; foco técnico</v>
      </c>
      <c r="G204" s="17" t="s">
        <v>5</v>
      </c>
      <c r="H204" s="19"/>
    </row>
    <row r="205" ht="22.5" hidden="1" customHeight="1">
      <c r="A205" s="4" t="s">
        <v>30</v>
      </c>
      <c r="B205" s="4">
        <v>2025.0</v>
      </c>
      <c r="C205" s="4" t="s">
        <v>33</v>
      </c>
      <c r="D205" s="4" t="s">
        <v>338</v>
      </c>
      <c r="E205" s="29" t="s">
        <v>8</v>
      </c>
      <c r="F205" s="6" t="str">
        <f>IFERROR(VLOOKUP(G205, 'Padronização'!A:C, 3, FALSE), "")</f>
        <v>Não aborda cenário de crise ou desastre</v>
      </c>
      <c r="G205" s="17" t="s">
        <v>31</v>
      </c>
      <c r="H205" s="19"/>
    </row>
    <row r="206" ht="22.5" hidden="1" customHeight="1">
      <c r="A206" s="4" t="s">
        <v>30</v>
      </c>
      <c r="B206" s="4">
        <v>2025.0</v>
      </c>
      <c r="C206" s="4" t="s">
        <v>33</v>
      </c>
      <c r="D206" s="4" t="s">
        <v>339</v>
      </c>
      <c r="E206" s="29" t="s">
        <v>8</v>
      </c>
      <c r="F206" s="6" t="str">
        <f>IFERROR(VLOOKUP(G206, 'Padronização'!A:C, 3, FALSE), "")</f>
        <v>Não aborda cenário de crise ou desastre</v>
      </c>
      <c r="G206" s="17" t="s">
        <v>31</v>
      </c>
      <c r="H206" s="19"/>
    </row>
    <row r="207" ht="22.5" hidden="1" customHeight="1">
      <c r="A207" s="4" t="s">
        <v>30</v>
      </c>
      <c r="B207" s="4">
        <v>2025.0</v>
      </c>
      <c r="C207" s="4" t="s">
        <v>33</v>
      </c>
      <c r="D207" s="4" t="s">
        <v>340</v>
      </c>
      <c r="E207" s="29" t="s">
        <v>8</v>
      </c>
      <c r="F207" s="6" t="str">
        <f>IFERROR(VLOOKUP(G207, 'Padronização'!A:C, 3, FALSE), "")</f>
        <v>Não aborda cenário de crise ou desastre</v>
      </c>
      <c r="G207" s="17" t="s">
        <v>31</v>
      </c>
      <c r="H207" s="19"/>
    </row>
    <row r="208" ht="22.5" hidden="1" customHeight="1">
      <c r="A208" s="4" t="s">
        <v>30</v>
      </c>
      <c r="B208" s="4">
        <v>2025.0</v>
      </c>
      <c r="C208" s="4" t="s">
        <v>87</v>
      </c>
      <c r="D208" s="4" t="s">
        <v>341</v>
      </c>
      <c r="E208" s="29" t="s">
        <v>8</v>
      </c>
      <c r="F208" s="6" t="str">
        <f>IFERROR(VLOOKUP(G208, 'Padronização'!A:C, 3, FALSE), "")</f>
        <v>Telecomunicações emergenciais / alocação de rede; foco técnico</v>
      </c>
      <c r="G208" s="17" t="s">
        <v>5</v>
      </c>
      <c r="H208" s="19"/>
    </row>
    <row r="209" ht="22.5" hidden="1" customHeight="1">
      <c r="A209" s="4" t="s">
        <v>30</v>
      </c>
      <c r="B209" s="4">
        <v>2025.0</v>
      </c>
      <c r="C209" s="4" t="s">
        <v>33</v>
      </c>
      <c r="D209" s="4" t="s">
        <v>342</v>
      </c>
      <c r="E209" s="29" t="s">
        <v>8</v>
      </c>
      <c r="F209" s="6" t="str">
        <f>IFERROR(VLOOKUP(G209, 'Padronização'!A:C, 3, FALSE), "")</f>
        <v>Não aborda cenário de crise ou desastre</v>
      </c>
      <c r="G209" s="17" t="s">
        <v>31</v>
      </c>
      <c r="H209" s="19"/>
    </row>
    <row r="210" ht="22.5" hidden="1" customHeight="1">
      <c r="A210" s="4" t="s">
        <v>30</v>
      </c>
      <c r="B210" s="4">
        <v>2025.0</v>
      </c>
      <c r="C210" s="4" t="s">
        <v>33</v>
      </c>
      <c r="D210" s="4" t="s">
        <v>344</v>
      </c>
      <c r="E210" s="29" t="s">
        <v>8</v>
      </c>
      <c r="F210" s="6" t="str">
        <f>IFERROR(VLOOKUP(G210, 'Padronização'!A:C, 3, FALSE), "")</f>
        <v>Não aborda cenário de crise ou desastre</v>
      </c>
      <c r="G210" s="17" t="s">
        <v>31</v>
      </c>
      <c r="H210" s="19"/>
    </row>
    <row r="211" ht="22.5" hidden="1" customHeight="1">
      <c r="A211" s="4" t="s">
        <v>30</v>
      </c>
      <c r="B211" s="4">
        <v>2025.0</v>
      </c>
      <c r="C211" s="4" t="s">
        <v>87</v>
      </c>
      <c r="D211" s="4" t="s">
        <v>345</v>
      </c>
      <c r="E211" s="29" t="s">
        <v>8</v>
      </c>
      <c r="F211" s="6" t="str">
        <f>IFERROR(VLOOKUP(G211, 'Padronização'!A:C, 3, FALSE), "")</f>
        <v>Não aborda cenário de crise ou desastre</v>
      </c>
      <c r="G211" s="17" t="s">
        <v>31</v>
      </c>
      <c r="H211" s="19"/>
    </row>
    <row r="212" ht="22.5" hidden="1" customHeight="1">
      <c r="A212" s="4" t="s">
        <v>30</v>
      </c>
      <c r="B212" s="4">
        <v>2025.0</v>
      </c>
      <c r="C212" s="4" t="s">
        <v>33</v>
      </c>
      <c r="D212" s="4" t="s">
        <v>347</v>
      </c>
      <c r="E212" s="29" t="s">
        <v>8</v>
      </c>
      <c r="F212" s="6" t="str">
        <f>IFERROR(VLOOKUP(G212, 'Padronização'!A:C, 3, FALSE), "")</f>
        <v>Telecomunicações emergenciais / alocação de rede; foco técnico</v>
      </c>
      <c r="G212" s="17" t="s">
        <v>5</v>
      </c>
      <c r="H212" s="19"/>
    </row>
    <row r="213" ht="22.5" hidden="1" customHeight="1">
      <c r="A213" s="4" t="s">
        <v>30</v>
      </c>
      <c r="B213" s="4">
        <v>2025.0</v>
      </c>
      <c r="C213" s="4" t="s">
        <v>87</v>
      </c>
      <c r="D213" s="4" t="s">
        <v>348</v>
      </c>
      <c r="E213" s="29" t="s">
        <v>8</v>
      </c>
      <c r="F213" s="6" t="str">
        <f>IFERROR(VLOOKUP(G213, 'Padronização'!A:C, 3, FALSE), "")</f>
        <v>Não aborda cenário de crise ou desastre</v>
      </c>
      <c r="G213" s="17" t="s">
        <v>31</v>
      </c>
      <c r="H213" s="19"/>
    </row>
    <row r="214" ht="22.5" hidden="1" customHeight="1">
      <c r="A214" s="4" t="s">
        <v>30</v>
      </c>
      <c r="B214" s="4">
        <v>2025.0</v>
      </c>
      <c r="C214" s="4" t="s">
        <v>87</v>
      </c>
      <c r="D214" s="4" t="s">
        <v>350</v>
      </c>
      <c r="E214" s="29" t="s">
        <v>8</v>
      </c>
      <c r="F214" s="6" t="str">
        <f>IFERROR(VLOOKUP(G214, 'Padronização'!A:C, 3, FALSE), "")</f>
        <v>Não aborda cenário de crise ou desastre</v>
      </c>
      <c r="G214" s="17" t="s">
        <v>31</v>
      </c>
      <c r="H214" s="19"/>
    </row>
    <row r="215" ht="22.5" hidden="1" customHeight="1">
      <c r="A215" s="4" t="s">
        <v>30</v>
      </c>
      <c r="B215" s="4">
        <v>2025.0</v>
      </c>
      <c r="C215" s="4" t="s">
        <v>33</v>
      </c>
      <c r="D215" s="4" t="s">
        <v>351</v>
      </c>
      <c r="E215" s="4" t="s">
        <v>41</v>
      </c>
      <c r="F215" s="6" t="str">
        <f>IFERROR(VLOOKUP(G215, 'Padronização'!A:C, 3, FALSE), "")</f>
        <v>Emergência sem evacuação clara</v>
      </c>
      <c r="G215" s="17" t="s">
        <v>43</v>
      </c>
      <c r="H215" s="19"/>
    </row>
    <row r="216" ht="22.5" hidden="1" customHeight="1">
      <c r="A216" s="4" t="s">
        <v>30</v>
      </c>
      <c r="B216" s="4">
        <v>2025.0</v>
      </c>
      <c r="C216" s="4" t="s">
        <v>33</v>
      </c>
      <c r="D216" s="4" t="s">
        <v>352</v>
      </c>
      <c r="E216" s="29" t="s">
        <v>8</v>
      </c>
      <c r="F216" s="6" t="str">
        <f>IFERROR(VLOOKUP(G216, 'Padronização'!A:C, 3, FALSE), "")</f>
        <v>Não aborda cenário de crise ou desastre</v>
      </c>
      <c r="G216" s="17" t="s">
        <v>31</v>
      </c>
      <c r="H216" s="19"/>
    </row>
    <row r="217" ht="22.5" hidden="1" customHeight="1">
      <c r="A217" s="4" t="s">
        <v>30</v>
      </c>
      <c r="B217" s="4">
        <v>2025.0</v>
      </c>
      <c r="C217" s="4" t="s">
        <v>87</v>
      </c>
      <c r="D217" s="4" t="s">
        <v>355</v>
      </c>
      <c r="E217" s="29" t="s">
        <v>8</v>
      </c>
      <c r="F217" s="6" t="str">
        <f>IFERROR(VLOOKUP(G217, 'Padronização'!A:C, 3, FALSE), "")</f>
        <v>Telecomunicações emergenciais / alocação de rede; foco técnico</v>
      </c>
      <c r="G217" s="17" t="s">
        <v>5</v>
      </c>
      <c r="H217" s="19"/>
    </row>
    <row r="218" ht="22.5" hidden="1" customHeight="1">
      <c r="A218" s="4" t="s">
        <v>30</v>
      </c>
      <c r="B218" s="4">
        <v>2025.0</v>
      </c>
      <c r="C218" s="4" t="s">
        <v>33</v>
      </c>
      <c r="D218" s="4" t="s">
        <v>356</v>
      </c>
      <c r="E218" s="29" t="s">
        <v>8</v>
      </c>
      <c r="F218" s="6" t="str">
        <f>IFERROR(VLOOKUP(G218, 'Padronização'!A:C, 3, FALSE), "")</f>
        <v>Telecomunicações emergenciais / alocação de rede; foco técnico</v>
      </c>
      <c r="G218" s="17" t="s">
        <v>5</v>
      </c>
      <c r="H218" s="19"/>
    </row>
    <row r="219" ht="22.5" hidden="1" customHeight="1">
      <c r="A219" s="4" t="s">
        <v>30</v>
      </c>
      <c r="B219" s="4">
        <v>2025.0</v>
      </c>
      <c r="C219" s="4" t="s">
        <v>87</v>
      </c>
      <c r="D219" s="4" t="s">
        <v>358</v>
      </c>
      <c r="E219" s="29" t="s">
        <v>8</v>
      </c>
      <c r="F219" s="6" t="str">
        <f>IFERROR(VLOOKUP(G219, 'Padronização'!A:C, 3, FALSE), "")</f>
        <v>Não aborda cenário de crise ou desastre</v>
      </c>
      <c r="G219" s="17" t="s">
        <v>31</v>
      </c>
      <c r="H219" s="19"/>
    </row>
    <row r="220" ht="22.5" hidden="1" customHeight="1">
      <c r="A220" s="4" t="s">
        <v>30</v>
      </c>
      <c r="B220" s="4">
        <v>2025.0</v>
      </c>
      <c r="C220" s="4" t="s">
        <v>87</v>
      </c>
      <c r="D220" s="4" t="s">
        <v>359</v>
      </c>
      <c r="E220" s="29" t="s">
        <v>8</v>
      </c>
      <c r="F220" s="6" t="str">
        <f>IFERROR(VLOOKUP(G220, 'Padronização'!A:C, 3, FALSE), "")</f>
        <v>Não aborda cenário de crise ou desastre</v>
      </c>
      <c r="G220" s="17" t="s">
        <v>31</v>
      </c>
      <c r="H220" s="19"/>
    </row>
    <row r="221" ht="22.5" hidden="1" customHeight="1">
      <c r="A221" s="4" t="s">
        <v>30</v>
      </c>
      <c r="B221" s="4">
        <v>2025.0</v>
      </c>
      <c r="C221" s="4" t="s">
        <v>33</v>
      </c>
      <c r="D221" s="4" t="s">
        <v>362</v>
      </c>
      <c r="E221" s="29" t="s">
        <v>8</v>
      </c>
      <c r="F221" s="6" t="str">
        <f>IFERROR(VLOOKUP(G221, 'Padronização'!A:C, 3, FALSE), "")</f>
        <v>Não aborda cenário de crise ou desastre</v>
      </c>
      <c r="G221" s="17" t="s">
        <v>31</v>
      </c>
      <c r="H221" s="19"/>
    </row>
    <row r="222" ht="22.5" hidden="1" customHeight="1">
      <c r="A222" s="4" t="s">
        <v>30</v>
      </c>
      <c r="B222" s="4">
        <v>2025.0</v>
      </c>
      <c r="C222" s="4" t="s">
        <v>33</v>
      </c>
      <c r="D222" s="4" t="s">
        <v>363</v>
      </c>
      <c r="E222" s="29" t="s">
        <v>8</v>
      </c>
      <c r="F222" s="6" t="str">
        <f>IFERROR(VLOOKUP(G222, 'Padronização'!A:C, 3, FALSE), "")</f>
        <v>Telecomunicações emergenciais / alocação de rede; foco técnico</v>
      </c>
      <c r="G222" s="17" t="s">
        <v>5</v>
      </c>
      <c r="H222" s="19"/>
    </row>
    <row r="223" ht="22.5" hidden="1" customHeight="1">
      <c r="A223" s="4" t="s">
        <v>30</v>
      </c>
      <c r="B223" s="4">
        <v>2025.0</v>
      </c>
      <c r="C223" s="4" t="s">
        <v>87</v>
      </c>
      <c r="D223" s="4" t="s">
        <v>366</v>
      </c>
      <c r="E223" s="29" t="s">
        <v>8</v>
      </c>
      <c r="F223" s="6" t="str">
        <f>IFERROR(VLOOKUP(G223, 'Padronização'!A:C, 3, FALSE), "")</f>
        <v>Não aborda cenário de crise ou desastre</v>
      </c>
      <c r="G223" s="17" t="s">
        <v>31</v>
      </c>
      <c r="H223" s="19"/>
    </row>
    <row r="224" ht="22.5" hidden="1" customHeight="1">
      <c r="A224" s="4" t="s">
        <v>30</v>
      </c>
      <c r="B224" s="4">
        <v>2025.0</v>
      </c>
      <c r="C224" s="4" t="s">
        <v>33</v>
      </c>
      <c r="D224" s="4" t="s">
        <v>367</v>
      </c>
      <c r="E224" s="29" t="s">
        <v>8</v>
      </c>
      <c r="F224" s="6" t="str">
        <f>IFERROR(VLOOKUP(G224, 'Padronização'!A:C, 3, FALSE), "")</f>
        <v>Telecomunicações emergenciais / alocação de rede; foco técnico</v>
      </c>
      <c r="G224" s="17" t="s">
        <v>5</v>
      </c>
      <c r="H224" s="19"/>
    </row>
    <row r="225" ht="22.5" hidden="1" customHeight="1">
      <c r="A225" s="4" t="s">
        <v>30</v>
      </c>
      <c r="B225" s="4">
        <v>2025.0</v>
      </c>
      <c r="C225" s="4" t="s">
        <v>33</v>
      </c>
      <c r="D225" s="4" t="s">
        <v>369</v>
      </c>
      <c r="E225" s="29" t="s">
        <v>8</v>
      </c>
      <c r="F225" s="6" t="str">
        <f>IFERROR(VLOOKUP(G225, 'Padronização'!A:C, 3, FALSE), "")</f>
        <v>Não aborda cenário de crise ou desastre</v>
      </c>
      <c r="G225" s="17" t="s">
        <v>31</v>
      </c>
      <c r="H225" s="19"/>
    </row>
    <row r="226" ht="22.5" hidden="1" customHeight="1">
      <c r="A226" s="4" t="s">
        <v>30</v>
      </c>
      <c r="B226" s="4">
        <v>2025.0</v>
      </c>
      <c r="C226" s="4" t="s">
        <v>87</v>
      </c>
      <c r="D226" s="4" t="s">
        <v>370</v>
      </c>
      <c r="E226" s="29" t="s">
        <v>8</v>
      </c>
      <c r="F226" s="6" t="str">
        <f>IFERROR(VLOOKUP(G226, 'Padronização'!A:C, 3, FALSE), "")</f>
        <v>Transporte / tráfego em operação normal</v>
      </c>
      <c r="G226" s="17" t="s">
        <v>19</v>
      </c>
      <c r="H226" s="19"/>
    </row>
    <row r="227" ht="22.5" hidden="1" customHeight="1">
      <c r="A227" s="4" t="s">
        <v>30</v>
      </c>
      <c r="B227" s="4">
        <v>2025.0</v>
      </c>
      <c r="C227" s="4" t="s">
        <v>87</v>
      </c>
      <c r="D227" s="4" t="s">
        <v>371</v>
      </c>
      <c r="E227" s="29" t="s">
        <v>8</v>
      </c>
      <c r="F227" s="6" t="str">
        <f>IFERROR(VLOOKUP(G227, 'Padronização'!A:C, 3, FALSE), "")</f>
        <v>Transporte / tráfego em operação normal</v>
      </c>
      <c r="G227" s="17" t="s">
        <v>19</v>
      </c>
      <c r="H227" s="19"/>
    </row>
    <row r="228" ht="22.5" customHeight="1">
      <c r="A228" s="4" t="s">
        <v>30</v>
      </c>
      <c r="B228" s="4">
        <v>2024.0</v>
      </c>
      <c r="C228" s="4" t="s">
        <v>33</v>
      </c>
      <c r="D228" s="4" t="s">
        <v>307</v>
      </c>
      <c r="E228" s="4" t="s">
        <v>37</v>
      </c>
      <c r="F228" s="6" t="str">
        <f>IFERROR(VLOOKUP(G228, 'Padronização'!A:C, 3, FALSE), "")</f>
        <v>ABM/MAS aplicado à evacuação</v>
      </c>
      <c r="G228" s="17" t="s">
        <v>45</v>
      </c>
      <c r="H228" s="19"/>
    </row>
    <row r="229" ht="22.5" customHeight="1">
      <c r="A229" s="4" t="s">
        <v>30</v>
      </c>
      <c r="B229" s="4">
        <v>2024.0</v>
      </c>
      <c r="C229" s="4" t="s">
        <v>33</v>
      </c>
      <c r="D229" s="4" t="s">
        <v>310</v>
      </c>
      <c r="E229" s="4" t="s">
        <v>37</v>
      </c>
      <c r="F229" s="6" t="str">
        <f>IFERROR(VLOOKUP(G229, 'Padronização'!A:C, 3, FALSE), "")</f>
        <v>ABM/MAS aplicado à evacuação</v>
      </c>
      <c r="G229" s="17" t="s">
        <v>45</v>
      </c>
      <c r="H229" s="19"/>
    </row>
    <row r="230" ht="22.5" customHeight="1">
      <c r="A230" s="4" t="s">
        <v>30</v>
      </c>
      <c r="B230" s="4">
        <v>2024.0</v>
      </c>
      <c r="C230" s="4" t="s">
        <v>33</v>
      </c>
      <c r="D230" s="4" t="s">
        <v>373</v>
      </c>
      <c r="E230" s="4" t="s">
        <v>37</v>
      </c>
      <c r="F230" s="6" t="str">
        <f>IFERROR(VLOOKUP(G230, 'Padronização'!A:C, 3, FALSE), "")</f>
        <v>ABM/MAS aplicado à evacuação</v>
      </c>
      <c r="G230" s="17" t="s">
        <v>45</v>
      </c>
      <c r="H230" s="19"/>
    </row>
    <row r="231" ht="22.5" customHeight="1">
      <c r="A231" s="4" t="s">
        <v>30</v>
      </c>
      <c r="B231" s="4">
        <v>2024.0</v>
      </c>
      <c r="C231" s="4" t="s">
        <v>33</v>
      </c>
      <c r="D231" s="4" t="s">
        <v>316</v>
      </c>
      <c r="E231" s="4" t="s">
        <v>37</v>
      </c>
      <c r="F231" s="6" t="str">
        <f>IFERROR(VLOOKUP(G231, 'Padronização'!A:C, 3, FALSE), "")</f>
        <v>ABM/MAS aplicado à evacuação</v>
      </c>
      <c r="G231" s="17" t="s">
        <v>45</v>
      </c>
      <c r="H231" s="19"/>
    </row>
    <row r="232" ht="22.5" hidden="1" customHeight="1">
      <c r="A232" s="4" t="s">
        <v>30</v>
      </c>
      <c r="B232" s="4">
        <v>2024.0</v>
      </c>
      <c r="C232" s="4" t="s">
        <v>33</v>
      </c>
      <c r="D232" s="4" t="s">
        <v>374</v>
      </c>
      <c r="E232" s="29" t="s">
        <v>8</v>
      </c>
      <c r="F232" s="6" t="str">
        <f>IFERROR(VLOOKUP(G232, 'Padronização'!A:C, 3, FALSE), "")</f>
        <v>Não aborda cenário de crise ou desastre</v>
      </c>
      <c r="G232" s="17" t="s">
        <v>31</v>
      </c>
      <c r="H232" s="19"/>
    </row>
    <row r="233" ht="22.5" hidden="1" customHeight="1">
      <c r="A233" s="4" t="s">
        <v>30</v>
      </c>
      <c r="B233" s="4">
        <v>2024.0</v>
      </c>
      <c r="C233" s="4" t="s">
        <v>33</v>
      </c>
      <c r="D233" s="4" t="s">
        <v>376</v>
      </c>
      <c r="E233" s="4" t="s">
        <v>41</v>
      </c>
      <c r="F233" s="6" t="str">
        <f>IFERROR(VLOOKUP(G233, 'Padronização'!A:C, 3, FALSE), "")</f>
        <v>Emergência sem evacuação clara</v>
      </c>
      <c r="G233" s="17" t="s">
        <v>43</v>
      </c>
      <c r="H233" s="19"/>
    </row>
    <row r="234" ht="22.5" hidden="1" customHeight="1">
      <c r="A234" s="4" t="s">
        <v>30</v>
      </c>
      <c r="B234" s="4">
        <v>2024.0</v>
      </c>
      <c r="C234" s="4" t="s">
        <v>33</v>
      </c>
      <c r="D234" s="4" t="s">
        <v>378</v>
      </c>
      <c r="E234" s="4" t="s">
        <v>8</v>
      </c>
      <c r="F234" s="6" t="str">
        <f>IFERROR(VLOOKUP(G234, 'Padronização'!A:C, 3, FALSE), "")</f>
        <v>Supply chain / impacto econômico indireto</v>
      </c>
      <c r="G234" s="17" t="s">
        <v>34</v>
      </c>
      <c r="H234" s="19"/>
    </row>
    <row r="235" ht="22.5" hidden="1" customHeight="1">
      <c r="A235" s="4" t="s">
        <v>30</v>
      </c>
      <c r="B235" s="4">
        <v>2024.0</v>
      </c>
      <c r="C235" s="4" t="s">
        <v>33</v>
      </c>
      <c r="D235" s="4" t="s">
        <v>379</v>
      </c>
      <c r="E235" s="4" t="s">
        <v>8</v>
      </c>
      <c r="F235" s="6" t="str">
        <f>IFERROR(VLOOKUP(G235, 'Padronização'!A:C, 3, FALSE), "")</f>
        <v>Não aborda cenário de crise ou desastre</v>
      </c>
      <c r="G235" s="17" t="s">
        <v>31</v>
      </c>
      <c r="H235" s="19"/>
    </row>
    <row r="236" ht="22.5" customHeight="1">
      <c r="A236" s="4" t="s">
        <v>30</v>
      </c>
      <c r="B236" s="4">
        <v>2024.0</v>
      </c>
      <c r="C236" s="4" t="s">
        <v>33</v>
      </c>
      <c r="D236" s="4" t="s">
        <v>320</v>
      </c>
      <c r="E236" s="4" t="s">
        <v>37</v>
      </c>
      <c r="F236" s="6" t="str">
        <f>IFERROR(VLOOKUP(G236, 'Padronização'!A:C, 3, FALSE), "")</f>
        <v>ABM/MAS focado em comportamento humano cognitivo</v>
      </c>
      <c r="G236" s="17" t="s">
        <v>47</v>
      </c>
      <c r="H236" s="19"/>
    </row>
    <row r="237" ht="22.5" customHeight="1">
      <c r="A237" s="4" t="s">
        <v>30</v>
      </c>
      <c r="B237" s="4">
        <v>2024.0</v>
      </c>
      <c r="C237" s="4" t="s">
        <v>33</v>
      </c>
      <c r="D237" s="4" t="s">
        <v>323</v>
      </c>
      <c r="E237" s="4" t="s">
        <v>37</v>
      </c>
      <c r="F237" s="6" t="str">
        <f>IFERROR(VLOOKUP(G237, 'Padronização'!A:C, 3, FALSE), "")</f>
        <v>ABM/MAS aplicado à evacuação</v>
      </c>
      <c r="G237" s="17" t="s">
        <v>45</v>
      </c>
      <c r="H237" s="19"/>
    </row>
    <row r="238" ht="22.5" customHeight="1">
      <c r="A238" s="4" t="s">
        <v>30</v>
      </c>
      <c r="B238" s="4">
        <v>2024.0</v>
      </c>
      <c r="C238" s="4" t="s">
        <v>33</v>
      </c>
      <c r="D238" s="4" t="s">
        <v>326</v>
      </c>
      <c r="E238" s="4" t="s">
        <v>37</v>
      </c>
      <c r="F238" s="6" t="str">
        <f>IFERROR(VLOOKUP(G238, 'Padronização'!A:C, 3, FALSE), "")</f>
        <v>ABM/MAS focado em comportamento humano cognitivo</v>
      </c>
      <c r="G238" s="17" t="s">
        <v>47</v>
      </c>
      <c r="H238" s="19"/>
    </row>
    <row r="239" ht="22.5" hidden="1" customHeight="1">
      <c r="A239" s="4" t="s">
        <v>30</v>
      </c>
      <c r="B239" s="4">
        <v>2024.0</v>
      </c>
      <c r="C239" s="4" t="s">
        <v>33</v>
      </c>
      <c r="D239" s="4" t="s">
        <v>382</v>
      </c>
      <c r="E239" s="4" t="s">
        <v>8</v>
      </c>
      <c r="F239" s="6" t="str">
        <f>IFERROR(VLOOKUP(G239, 'Padronização'!A:C, 3, FALSE), "")</f>
        <v>Não aborda cenário de crise ou desastre</v>
      </c>
      <c r="G239" s="17" t="s">
        <v>31</v>
      </c>
      <c r="H239" s="19"/>
    </row>
    <row r="240" ht="22.5" hidden="1" customHeight="1">
      <c r="A240" s="4" t="s">
        <v>30</v>
      </c>
      <c r="B240" s="4">
        <v>2024.0</v>
      </c>
      <c r="C240" s="4" t="s">
        <v>33</v>
      </c>
      <c r="D240" s="4" t="s">
        <v>384</v>
      </c>
      <c r="E240" s="4" t="s">
        <v>41</v>
      </c>
      <c r="F240" s="6" t="str">
        <f>IFERROR(VLOOKUP(G240, 'Padronização'!A:C, 3, FALSE), "")</f>
        <v>Emergência sem evacuação clara</v>
      </c>
      <c r="G240" s="17" t="s">
        <v>43</v>
      </c>
      <c r="H240" s="19"/>
    </row>
    <row r="241" ht="22.5" hidden="1" customHeight="1">
      <c r="A241" s="4" t="s">
        <v>30</v>
      </c>
      <c r="B241" s="4">
        <v>2024.0</v>
      </c>
      <c r="C241" s="4" t="s">
        <v>33</v>
      </c>
      <c r="D241" s="4" t="s">
        <v>385</v>
      </c>
      <c r="E241" s="4" t="s">
        <v>41</v>
      </c>
      <c r="F241" s="6" t="str">
        <f>IFERROR(VLOOKUP(G241, 'Padronização'!A:C, 3, FALSE), "")</f>
        <v>Emergência sem evacuação clara</v>
      </c>
      <c r="G241" s="17" t="s">
        <v>43</v>
      </c>
      <c r="H241" s="19"/>
    </row>
    <row r="242" ht="22.5" hidden="1" customHeight="1">
      <c r="A242" s="4" t="s">
        <v>30</v>
      </c>
      <c r="B242" s="4">
        <v>2024.0</v>
      </c>
      <c r="C242" s="4" t="s">
        <v>33</v>
      </c>
      <c r="D242" s="4" t="s">
        <v>387</v>
      </c>
      <c r="E242" s="4" t="s">
        <v>8</v>
      </c>
      <c r="F242" s="6" t="str">
        <f>IFERROR(VLOOKUP(G242, 'Padronização'!A:C, 3, FALSE), "")</f>
        <v>Telecomunicações emergenciais / alocação de rede; foco técnico</v>
      </c>
      <c r="G242" s="17" t="s">
        <v>5</v>
      </c>
      <c r="H242" s="19"/>
    </row>
    <row r="243" ht="22.5" hidden="1" customHeight="1">
      <c r="A243" s="4" t="s">
        <v>30</v>
      </c>
      <c r="B243" s="4">
        <v>2024.0</v>
      </c>
      <c r="C243" s="4" t="s">
        <v>33</v>
      </c>
      <c r="D243" s="4" t="s">
        <v>388</v>
      </c>
      <c r="E243" s="4" t="s">
        <v>8</v>
      </c>
      <c r="F243" s="6" t="str">
        <f>IFERROR(VLOOKUP(G243, 'Padronização'!A:C, 3, FALSE), "")</f>
        <v>Não aborda cenário de crise ou desastre</v>
      </c>
      <c r="G243" s="17" t="s">
        <v>31</v>
      </c>
      <c r="H243" s="19"/>
    </row>
    <row r="244" ht="22.5" hidden="1" customHeight="1">
      <c r="A244" s="4" t="s">
        <v>30</v>
      </c>
      <c r="B244" s="4">
        <v>2024.0</v>
      </c>
      <c r="C244" s="4" t="s">
        <v>390</v>
      </c>
      <c r="D244" s="4" t="s">
        <v>391</v>
      </c>
      <c r="E244" s="4" t="s">
        <v>41</v>
      </c>
      <c r="F244" s="6" t="str">
        <f>IFERROR(VLOOKUP(G244, 'Padronização'!A:C, 3, FALSE), "")</f>
        <v>Emergência sem evacuação clara</v>
      </c>
      <c r="G244" s="17" t="s">
        <v>43</v>
      </c>
      <c r="H244" s="19"/>
    </row>
    <row r="245" ht="22.5" hidden="1" customHeight="1">
      <c r="A245" s="4" t="s">
        <v>30</v>
      </c>
      <c r="B245" s="4">
        <v>2024.0</v>
      </c>
      <c r="C245" s="4" t="s">
        <v>33</v>
      </c>
      <c r="D245" s="4" t="s">
        <v>392</v>
      </c>
      <c r="E245" s="4" t="s">
        <v>41</v>
      </c>
      <c r="F245" s="6" t="str">
        <f>IFERROR(VLOOKUP(G245, 'Padronização'!A:C, 3, FALSE), "")</f>
        <v>Emergência sem evacuação clara</v>
      </c>
      <c r="G245" s="17" t="s">
        <v>43</v>
      </c>
      <c r="H245" s="19"/>
    </row>
    <row r="246" ht="22.5" customHeight="1">
      <c r="A246" s="4" t="s">
        <v>30</v>
      </c>
      <c r="B246" s="4">
        <v>2024.0</v>
      </c>
      <c r="C246" s="4" t="s">
        <v>33</v>
      </c>
      <c r="D246" s="4" t="s">
        <v>393</v>
      </c>
      <c r="E246" s="4" t="s">
        <v>37</v>
      </c>
      <c r="F246" s="6" t="str">
        <f>IFERROR(VLOOKUP(G246, 'Padronização'!A:C, 3, FALSE), "")</f>
        <v>ABM/MAS focado em comportamento humano cognitivo</v>
      </c>
      <c r="G246" s="17" t="s">
        <v>47</v>
      </c>
      <c r="H246" s="19"/>
    </row>
    <row r="247" ht="22.5" customHeight="1">
      <c r="A247" s="4" t="s">
        <v>30</v>
      </c>
      <c r="B247" s="4">
        <v>2024.0</v>
      </c>
      <c r="C247" s="4" t="s">
        <v>33</v>
      </c>
      <c r="D247" s="4" t="s">
        <v>395</v>
      </c>
      <c r="E247" s="4" t="s">
        <v>37</v>
      </c>
      <c r="F247" s="6" t="str">
        <f>IFERROR(VLOOKUP(G247, 'Padronização'!A:C, 3, FALSE), "")</f>
        <v>ABM/MAS focado em comportamento humano cognitivo</v>
      </c>
      <c r="G247" s="17" t="s">
        <v>47</v>
      </c>
      <c r="H247" s="19"/>
    </row>
    <row r="248" ht="22.5" hidden="1" customHeight="1">
      <c r="A248" s="4" t="s">
        <v>30</v>
      </c>
      <c r="B248" s="4">
        <v>2024.0</v>
      </c>
      <c r="C248" s="4" t="s">
        <v>33</v>
      </c>
      <c r="D248" s="4" t="s">
        <v>396</v>
      </c>
      <c r="E248" s="4" t="s">
        <v>8</v>
      </c>
      <c r="F248" s="6" t="str">
        <f>IFERROR(VLOOKUP(G248, 'Padronização'!A:C, 3, FALSE), "")</f>
        <v>Emergência em saúde com foco operacional / Operação hospitalar</v>
      </c>
      <c r="G248" s="17" t="s">
        <v>38</v>
      </c>
      <c r="H248" s="19"/>
    </row>
    <row r="249" ht="22.5" hidden="1" customHeight="1">
      <c r="A249" s="4" t="s">
        <v>30</v>
      </c>
      <c r="B249" s="4">
        <v>2024.0</v>
      </c>
      <c r="C249" s="4" t="s">
        <v>33</v>
      </c>
      <c r="D249" s="4" t="s">
        <v>398</v>
      </c>
      <c r="E249" s="4" t="s">
        <v>41</v>
      </c>
      <c r="F249" s="6" t="str">
        <f>IFERROR(VLOOKUP(G249, 'Padronização'!A:C, 3, FALSE), "")</f>
        <v>Emergência sem evacuação clara</v>
      </c>
      <c r="G249" s="17" t="s">
        <v>43</v>
      </c>
      <c r="H249" s="19"/>
    </row>
    <row r="250" ht="22.5" hidden="1" customHeight="1">
      <c r="A250" s="4" t="s">
        <v>30</v>
      </c>
      <c r="B250" s="4">
        <v>2024.0</v>
      </c>
      <c r="C250" s="4" t="s">
        <v>33</v>
      </c>
      <c r="D250" s="4" t="s">
        <v>399</v>
      </c>
      <c r="E250" s="4" t="s">
        <v>8</v>
      </c>
      <c r="F250" s="6" t="str">
        <f>IFERROR(VLOOKUP(G250, 'Padronização'!A:C, 3, FALSE), "")</f>
        <v>Emergência em saúde com foco operacional / Operação hospitalar</v>
      </c>
      <c r="G250" s="17" t="s">
        <v>38</v>
      </c>
      <c r="H250" s="19"/>
    </row>
    <row r="251" ht="22.5" customHeight="1">
      <c r="A251" s="4" t="s">
        <v>30</v>
      </c>
      <c r="B251" s="4">
        <v>2024.0</v>
      </c>
      <c r="C251" s="4" t="s">
        <v>33</v>
      </c>
      <c r="D251" s="4" t="s">
        <v>343</v>
      </c>
      <c r="E251" s="4" t="s">
        <v>37</v>
      </c>
      <c r="F251" s="6" t="str">
        <f>IFERROR(VLOOKUP(G251, 'Padronização'!A:C, 3, FALSE), "")</f>
        <v>Emergência em saúde com foco operacional / Operação hospitalar</v>
      </c>
      <c r="G251" s="17" t="s">
        <v>38</v>
      </c>
      <c r="H251" s="19"/>
    </row>
    <row r="252" ht="22.5" customHeight="1">
      <c r="A252" s="4" t="s">
        <v>30</v>
      </c>
      <c r="B252" s="4">
        <v>2024.0</v>
      </c>
      <c r="C252" s="4" t="s">
        <v>33</v>
      </c>
      <c r="D252" s="4" t="s">
        <v>346</v>
      </c>
      <c r="E252" s="4" t="s">
        <v>37</v>
      </c>
      <c r="F252" s="6" t="str">
        <f>IFERROR(VLOOKUP(G252, 'Padronização'!A:C, 3, FALSE), "")</f>
        <v>ABM/MAS aplicado à evacuação</v>
      </c>
      <c r="G252" s="17" t="s">
        <v>45</v>
      </c>
      <c r="H252" s="19"/>
    </row>
    <row r="253" ht="22.5" hidden="1" customHeight="1">
      <c r="A253" s="4" t="s">
        <v>30</v>
      </c>
      <c r="B253" s="4">
        <v>2024.0</v>
      </c>
      <c r="C253" s="4" t="s">
        <v>390</v>
      </c>
      <c r="D253" s="4" t="s">
        <v>401</v>
      </c>
      <c r="E253" s="4" t="s">
        <v>41</v>
      </c>
      <c r="F253" s="6" t="str">
        <f>IFERROR(VLOOKUP(G253, 'Padronização'!A:C, 3, FALSE), "")</f>
        <v>Emergência sem evacuação clara</v>
      </c>
      <c r="G253" s="17" t="s">
        <v>43</v>
      </c>
      <c r="H253" s="19"/>
    </row>
    <row r="254" ht="22.5" customHeight="1">
      <c r="A254" s="4" t="s">
        <v>30</v>
      </c>
      <c r="B254" s="4">
        <v>2024.0</v>
      </c>
      <c r="C254" s="4" t="s">
        <v>33</v>
      </c>
      <c r="D254" s="4" t="s">
        <v>349</v>
      </c>
      <c r="E254" s="4" t="s">
        <v>37</v>
      </c>
      <c r="F254" s="6" t="str">
        <f>IFERROR(VLOOKUP(G254, 'Padronização'!A:C, 3, FALSE), "")</f>
        <v>ABM/MAS aplicado à evacuação</v>
      </c>
      <c r="G254" s="17" t="s">
        <v>45</v>
      </c>
      <c r="H254" s="19"/>
    </row>
    <row r="255" ht="22.5" hidden="1" customHeight="1">
      <c r="A255" s="4" t="s">
        <v>30</v>
      </c>
      <c r="B255" s="4">
        <v>2024.0</v>
      </c>
      <c r="C255" s="4" t="s">
        <v>33</v>
      </c>
      <c r="D255" s="4" t="s">
        <v>407</v>
      </c>
      <c r="E255" s="4" t="s">
        <v>41</v>
      </c>
      <c r="F255" s="6" t="str">
        <f>IFERROR(VLOOKUP(G255, 'Padronização'!A:C, 3, FALSE), "")</f>
        <v>Emergência sem evacuação clara</v>
      </c>
      <c r="G255" s="17" t="s">
        <v>43</v>
      </c>
      <c r="H255" s="19"/>
    </row>
    <row r="256" ht="22.5" hidden="1" customHeight="1">
      <c r="A256" s="4" t="s">
        <v>30</v>
      </c>
      <c r="B256" s="4">
        <v>2024.0</v>
      </c>
      <c r="C256" s="4" t="s">
        <v>33</v>
      </c>
      <c r="D256" s="4" t="s">
        <v>409</v>
      </c>
      <c r="E256" s="4" t="s">
        <v>41</v>
      </c>
      <c r="F256" s="6" t="str">
        <f>IFERROR(VLOOKUP(G256, 'Padronização'!A:C, 3, FALSE), "")</f>
        <v>Emergência sem evacuação clara</v>
      </c>
      <c r="G256" s="17" t="s">
        <v>43</v>
      </c>
      <c r="H256" s="19"/>
    </row>
    <row r="257" ht="22.5" customHeight="1">
      <c r="A257" s="4" t="s">
        <v>30</v>
      </c>
      <c r="B257" s="4">
        <v>2024.0</v>
      </c>
      <c r="C257" s="4" t="s">
        <v>33</v>
      </c>
      <c r="D257" s="4" t="s">
        <v>353</v>
      </c>
      <c r="E257" s="4" t="s">
        <v>37</v>
      </c>
      <c r="F257" s="6" t="str">
        <f>IFERROR(VLOOKUP(G257, 'Padronização'!A:C, 3, FALSE), "")</f>
        <v>ABM/MAS focado em comportamento humano cognitivo</v>
      </c>
      <c r="G257" s="17" t="s">
        <v>47</v>
      </c>
      <c r="H257" s="19"/>
    </row>
    <row r="258" ht="22.5" hidden="1" customHeight="1">
      <c r="A258" s="4" t="s">
        <v>30</v>
      </c>
      <c r="B258" s="4">
        <v>2024.0</v>
      </c>
      <c r="C258" s="4" t="s">
        <v>33</v>
      </c>
      <c r="D258" s="4" t="s">
        <v>411</v>
      </c>
      <c r="E258" s="4" t="s">
        <v>41</v>
      </c>
      <c r="F258" s="6" t="str">
        <f>IFERROR(VLOOKUP(G258, 'Padronização'!A:C, 3, FALSE), "")</f>
        <v>Emergência sem evacuação clara</v>
      </c>
      <c r="G258" s="17" t="s">
        <v>43</v>
      </c>
      <c r="H258" s="19"/>
    </row>
    <row r="259" ht="22.5" hidden="1" customHeight="1">
      <c r="A259" s="4" t="s">
        <v>30</v>
      </c>
      <c r="B259" s="4">
        <v>2024.0</v>
      </c>
      <c r="C259" s="4" t="s">
        <v>33</v>
      </c>
      <c r="D259" s="4" t="s">
        <v>412</v>
      </c>
      <c r="E259" s="4" t="s">
        <v>41</v>
      </c>
      <c r="F259" s="6" t="str">
        <f>IFERROR(VLOOKUP(G259, 'Padronização'!A:C, 3, FALSE), "")</f>
        <v>Crise explícita com foco em infraestrutura</v>
      </c>
      <c r="G259" s="17" t="s">
        <v>40</v>
      </c>
      <c r="H259" s="19"/>
    </row>
    <row r="260" ht="22.5" hidden="1" customHeight="1">
      <c r="A260" s="4" t="s">
        <v>30</v>
      </c>
      <c r="B260" s="4">
        <v>2024.0</v>
      </c>
      <c r="C260" s="4" t="s">
        <v>33</v>
      </c>
      <c r="D260" s="4" t="s">
        <v>414</v>
      </c>
      <c r="E260" s="4" t="s">
        <v>41</v>
      </c>
      <c r="F260" s="6" t="str">
        <f>IFERROR(VLOOKUP(G260, 'Padronização'!A:C, 3, FALSE), "")</f>
        <v>Emergência sem evacuação clara</v>
      </c>
      <c r="G260" s="17" t="s">
        <v>43</v>
      </c>
      <c r="H260" s="19"/>
    </row>
    <row r="261" ht="22.5" customHeight="1">
      <c r="A261" s="4" t="s">
        <v>30</v>
      </c>
      <c r="B261" s="4">
        <v>2024.0</v>
      </c>
      <c r="C261" s="4" t="s">
        <v>33</v>
      </c>
      <c r="D261" s="4" t="s">
        <v>415</v>
      </c>
      <c r="E261" s="4" t="s">
        <v>37</v>
      </c>
      <c r="F261" s="6" t="str">
        <f>IFERROR(VLOOKUP(G261, 'Padronização'!A:C, 3, FALSE), "")</f>
        <v>ABM/MAS focado em comportamento humano cognitivo</v>
      </c>
      <c r="G261" s="17" t="s">
        <v>47</v>
      </c>
      <c r="H261" s="19"/>
    </row>
    <row r="262" ht="22.5" hidden="1" customHeight="1">
      <c r="A262" s="4" t="s">
        <v>30</v>
      </c>
      <c r="B262" s="4">
        <v>2024.0</v>
      </c>
      <c r="C262" s="4" t="s">
        <v>33</v>
      </c>
      <c r="D262" s="4" t="s">
        <v>417</v>
      </c>
      <c r="E262" s="4" t="s">
        <v>41</v>
      </c>
      <c r="F262" s="6" t="str">
        <f>IFERROR(VLOOKUP(G262, 'Padronização'!A:C, 3, FALSE), "")</f>
        <v>Emergência sem evacuação clara</v>
      </c>
      <c r="G262" s="17" t="s">
        <v>43</v>
      </c>
      <c r="H262" s="19"/>
    </row>
    <row r="263" ht="22.5" customHeight="1">
      <c r="A263" s="4" t="s">
        <v>30</v>
      </c>
      <c r="B263" s="4">
        <v>2024.0</v>
      </c>
      <c r="C263" s="4" t="s">
        <v>33</v>
      </c>
      <c r="D263" s="4" t="s">
        <v>418</v>
      </c>
      <c r="E263" s="4" t="s">
        <v>37</v>
      </c>
      <c r="F263" s="6" t="str">
        <f>IFERROR(VLOOKUP(G263, 'Padronização'!A:C, 3, FALSE), "")</f>
        <v>ABM/MAS focado em comportamento humano cognitivo</v>
      </c>
      <c r="G263" s="17" t="s">
        <v>47</v>
      </c>
      <c r="H263" s="19"/>
    </row>
    <row r="264" ht="22.5" hidden="1" customHeight="1">
      <c r="A264" s="4" t="s">
        <v>30</v>
      </c>
      <c r="B264" s="4">
        <v>2024.0</v>
      </c>
      <c r="C264" s="4" t="s">
        <v>33</v>
      </c>
      <c r="D264" s="4" t="s">
        <v>420</v>
      </c>
      <c r="E264" s="4" t="s">
        <v>8</v>
      </c>
      <c r="F264" s="6" t="str">
        <f>IFERROR(VLOOKUP(G264, 'Padronização'!A:C, 3, FALSE), "")</f>
        <v>Não aborda cenário de crise ou desastre</v>
      </c>
      <c r="G264" s="17" t="s">
        <v>31</v>
      </c>
      <c r="H264" s="19"/>
    </row>
    <row r="265" ht="22.5" hidden="1" customHeight="1">
      <c r="A265" s="4" t="s">
        <v>30</v>
      </c>
      <c r="B265" s="4">
        <v>2024.0</v>
      </c>
      <c r="C265" s="4" t="s">
        <v>33</v>
      </c>
      <c r="D265" s="4" t="s">
        <v>421</v>
      </c>
      <c r="E265" s="4" t="s">
        <v>41</v>
      </c>
      <c r="F265" s="6" t="str">
        <f>IFERROR(VLOOKUP(G265, 'Padronização'!A:C, 3, FALSE), "")</f>
        <v>Emergência sem evacuação clara</v>
      </c>
      <c r="G265" s="17" t="s">
        <v>43</v>
      </c>
      <c r="H265" s="19"/>
    </row>
    <row r="266" ht="22.5" hidden="1" customHeight="1">
      <c r="A266" s="4" t="s">
        <v>30</v>
      </c>
      <c r="B266" s="4">
        <v>2024.0</v>
      </c>
      <c r="C266" s="4" t="s">
        <v>33</v>
      </c>
      <c r="D266" s="4" t="s">
        <v>423</v>
      </c>
      <c r="E266" s="4" t="s">
        <v>8</v>
      </c>
      <c r="F266" s="6" t="str">
        <f>IFERROR(VLOOKUP(G266, 'Padronização'!A:C, 3, FALSE), "")</f>
        <v>Não aborda cenário de crise ou desastre</v>
      </c>
      <c r="G266" s="17" t="s">
        <v>31</v>
      </c>
      <c r="H266" s="19"/>
    </row>
    <row r="267" ht="22.5" customHeight="1">
      <c r="A267" s="4" t="s">
        <v>30</v>
      </c>
      <c r="B267" s="4">
        <v>2024.0</v>
      </c>
      <c r="C267" s="4" t="s">
        <v>33</v>
      </c>
      <c r="D267" s="4" t="s">
        <v>424</v>
      </c>
      <c r="E267" s="4" t="s">
        <v>37</v>
      </c>
      <c r="F267" s="6" t="str">
        <f>IFERROR(VLOOKUP(G267, 'Padronização'!A:C, 3, FALSE), "")</f>
        <v>ABM/MAS focado em comportamento humano cognitivo</v>
      </c>
      <c r="G267" s="17" t="s">
        <v>47</v>
      </c>
      <c r="H267" s="19"/>
    </row>
    <row r="268" ht="22.5" hidden="1" customHeight="1">
      <c r="A268" s="4" t="s">
        <v>30</v>
      </c>
      <c r="B268" s="4">
        <v>2024.0</v>
      </c>
      <c r="C268" s="4" t="s">
        <v>33</v>
      </c>
      <c r="D268" s="4" t="s">
        <v>426</v>
      </c>
      <c r="E268" s="4" t="s">
        <v>8</v>
      </c>
      <c r="F268" s="6" t="str">
        <f>IFERROR(VLOOKUP(G268, 'Padronização'!A:C, 3, FALSE), "")</f>
        <v>Não aborda cenário de crise ou desastre</v>
      </c>
      <c r="G268" s="17" t="s">
        <v>31</v>
      </c>
      <c r="H268" s="19"/>
    </row>
    <row r="269" ht="22.5" hidden="1" customHeight="1">
      <c r="A269" s="4" t="s">
        <v>30</v>
      </c>
      <c r="B269" s="4">
        <v>2024.0</v>
      </c>
      <c r="C269" s="4" t="s">
        <v>33</v>
      </c>
      <c r="D269" s="4" t="s">
        <v>427</v>
      </c>
      <c r="E269" s="4" t="s">
        <v>41</v>
      </c>
      <c r="F269" s="6" t="str">
        <f>IFERROR(VLOOKUP(G269, 'Padronização'!A:C, 3, FALSE), "")</f>
        <v>Emergência sem evacuação clara</v>
      </c>
      <c r="G269" s="17" t="s">
        <v>43</v>
      </c>
      <c r="H269" s="19"/>
    </row>
    <row r="270" ht="22.5" hidden="1" customHeight="1">
      <c r="A270" s="4" t="s">
        <v>30</v>
      </c>
      <c r="B270" s="4">
        <v>2024.0</v>
      </c>
      <c r="C270" s="4" t="s">
        <v>33</v>
      </c>
      <c r="D270" s="4" t="s">
        <v>429</v>
      </c>
      <c r="E270" s="4" t="s">
        <v>8</v>
      </c>
      <c r="F270" s="6" t="str">
        <f>IFERROR(VLOOKUP(G270, 'Padronização'!A:C, 3, FALSE), "")</f>
        <v>Não aborda cenário de crise ou desastre</v>
      </c>
      <c r="G270" s="17" t="s">
        <v>31</v>
      </c>
      <c r="H270" s="19"/>
    </row>
    <row r="271" ht="22.5" hidden="1" customHeight="1">
      <c r="A271" s="4" t="s">
        <v>30</v>
      </c>
      <c r="B271" s="4">
        <v>2024.0</v>
      </c>
      <c r="C271" s="4" t="s">
        <v>33</v>
      </c>
      <c r="D271" s="32" t="s">
        <v>430</v>
      </c>
      <c r="E271" s="4" t="s">
        <v>41</v>
      </c>
      <c r="F271" s="6" t="str">
        <f>IFERROR(VLOOKUP(G271, 'Padronização'!A:C, 3, FALSE), "")</f>
        <v>Emergência sem evacuação clara</v>
      </c>
      <c r="G271" s="17" t="s">
        <v>43</v>
      </c>
      <c r="H271" s="19"/>
    </row>
    <row r="272" ht="22.5" hidden="1" customHeight="1">
      <c r="A272" s="4" t="s">
        <v>30</v>
      </c>
      <c r="B272" s="4">
        <v>2024.0</v>
      </c>
      <c r="C272" s="4" t="s">
        <v>33</v>
      </c>
      <c r="D272" s="4" t="s">
        <v>434</v>
      </c>
      <c r="E272" s="4" t="s">
        <v>41</v>
      </c>
      <c r="F272" s="6" t="str">
        <f>IFERROR(VLOOKUP(G272, 'Padronização'!A:C, 3, FALSE), "")</f>
        <v>Emergência sem evacuação clara</v>
      </c>
      <c r="G272" s="17" t="s">
        <v>43</v>
      </c>
      <c r="H272" s="19"/>
    </row>
    <row r="273" ht="22.5" hidden="1" customHeight="1">
      <c r="A273" s="4" t="s">
        <v>30</v>
      </c>
      <c r="B273" s="4">
        <v>2024.0</v>
      </c>
      <c r="C273" s="4" t="s">
        <v>33</v>
      </c>
      <c r="D273" s="4" t="s">
        <v>436</v>
      </c>
      <c r="E273" s="4" t="s">
        <v>8</v>
      </c>
      <c r="F273" s="6" t="str">
        <f>IFERROR(VLOOKUP(G273, 'Padronização'!A:C, 3, FALSE), "")</f>
        <v>Não aborda cenário de crise ou desastre</v>
      </c>
      <c r="G273" s="17" t="s">
        <v>31</v>
      </c>
      <c r="H273" s="19"/>
    </row>
    <row r="274" ht="22.5" hidden="1" customHeight="1">
      <c r="A274" s="4" t="s">
        <v>30</v>
      </c>
      <c r="B274" s="4">
        <v>2024.0</v>
      </c>
      <c r="C274" s="4" t="s">
        <v>33</v>
      </c>
      <c r="D274" s="4" t="s">
        <v>438</v>
      </c>
      <c r="E274" s="4" t="s">
        <v>41</v>
      </c>
      <c r="F274" s="6" t="str">
        <f>IFERROR(VLOOKUP(G274, 'Padronização'!A:C, 3, FALSE), "")</f>
        <v>Emergência sem evacuação clara</v>
      </c>
      <c r="G274" s="17" t="s">
        <v>43</v>
      </c>
      <c r="H274" s="19"/>
    </row>
    <row r="275" ht="22.5" hidden="1" customHeight="1">
      <c r="A275" s="4" t="s">
        <v>30</v>
      </c>
      <c r="B275" s="4">
        <v>2024.0</v>
      </c>
      <c r="C275" s="4" t="s">
        <v>33</v>
      </c>
      <c r="D275" s="4" t="s">
        <v>439</v>
      </c>
      <c r="E275" s="4" t="s">
        <v>8</v>
      </c>
      <c r="F275" s="6" t="str">
        <f>IFERROR(VLOOKUP(G275, 'Padronização'!A:C, 3, FALSE), "")</f>
        <v>Transporte / tráfego em operação normal</v>
      </c>
      <c r="G275" s="17" t="s">
        <v>19</v>
      </c>
      <c r="H275" s="19"/>
    </row>
    <row r="276" ht="22.5" hidden="1" customHeight="1">
      <c r="A276" s="4" t="s">
        <v>30</v>
      </c>
      <c r="B276" s="4">
        <v>2024.0</v>
      </c>
      <c r="C276" s="4" t="s">
        <v>33</v>
      </c>
      <c r="D276" s="4" t="s">
        <v>441</v>
      </c>
      <c r="E276" s="4" t="s">
        <v>8</v>
      </c>
      <c r="F276" s="6" t="str">
        <f>IFERROR(VLOOKUP(G276, 'Padronização'!A:C, 3, FALSE), "")</f>
        <v>Artigo metodológico genérico (framework, design, how-to)</v>
      </c>
      <c r="G276" s="17" t="s">
        <v>27</v>
      </c>
      <c r="H276" s="19"/>
    </row>
    <row r="277" ht="22.5" customHeight="1">
      <c r="A277" s="4" t="s">
        <v>30</v>
      </c>
      <c r="B277" s="4">
        <v>2024.0</v>
      </c>
      <c r="C277" s="4" t="s">
        <v>33</v>
      </c>
      <c r="D277" s="4" t="s">
        <v>368</v>
      </c>
      <c r="E277" s="4" t="s">
        <v>37</v>
      </c>
      <c r="F277" s="6" t="str">
        <f>IFERROR(VLOOKUP(G277, 'Padronização'!A:C, 3, FALSE), "")</f>
        <v>ABM/MAS aplicado à evacuação</v>
      </c>
      <c r="G277" s="17" t="s">
        <v>45</v>
      </c>
      <c r="H277" s="19"/>
    </row>
    <row r="278" ht="22.5" customHeight="1">
      <c r="A278" s="4" t="s">
        <v>30</v>
      </c>
      <c r="B278" s="4">
        <v>2024.0</v>
      </c>
      <c r="C278" s="4" t="s">
        <v>33</v>
      </c>
      <c r="D278" s="4" t="s">
        <v>116</v>
      </c>
      <c r="E278" s="4" t="s">
        <v>37</v>
      </c>
      <c r="F278" s="6" t="str">
        <f>IFERROR(VLOOKUP(G278, 'Padronização'!A:C, 3, FALSE), "")</f>
        <v>ABM/MAS focado em comportamento humano cognitivo</v>
      </c>
      <c r="G278" s="17" t="s">
        <v>47</v>
      </c>
      <c r="H278" s="19"/>
    </row>
    <row r="279" ht="22.5" hidden="1" customHeight="1">
      <c r="A279" s="4" t="s">
        <v>30</v>
      </c>
      <c r="B279" s="4">
        <v>2024.0</v>
      </c>
      <c r="C279" s="4" t="s">
        <v>33</v>
      </c>
      <c r="D279" s="4" t="s">
        <v>443</v>
      </c>
      <c r="E279" s="4" t="s">
        <v>8</v>
      </c>
      <c r="F279" s="6" t="str">
        <f>IFERROR(VLOOKUP(G279, 'Padronização'!A:C, 3, FALSE), "")</f>
        <v>Não aborda cenário de crise ou desastre</v>
      </c>
      <c r="G279" s="17" t="s">
        <v>31</v>
      </c>
      <c r="H279" s="19"/>
    </row>
    <row r="280" ht="22.5" hidden="1" customHeight="1">
      <c r="A280" s="4" t="s">
        <v>30</v>
      </c>
      <c r="B280" s="4">
        <v>2024.0</v>
      </c>
      <c r="C280" s="4" t="s">
        <v>87</v>
      </c>
      <c r="D280" s="4" t="s">
        <v>444</v>
      </c>
      <c r="E280" s="4" t="s">
        <v>8</v>
      </c>
      <c r="F280" s="6" t="str">
        <f>IFERROR(VLOOKUP(G280, 'Padronização'!A:C, 3, FALSE), "")</f>
        <v>Não aborda cenário de crise ou desastre</v>
      </c>
      <c r="G280" s="17" t="s">
        <v>31</v>
      </c>
      <c r="H280" s="19"/>
    </row>
    <row r="281" ht="22.5" customHeight="1">
      <c r="A281" s="4" t="s">
        <v>30</v>
      </c>
      <c r="B281" s="4">
        <v>2024.0</v>
      </c>
      <c r="C281" s="4" t="s">
        <v>33</v>
      </c>
      <c r="D281" s="4" t="s">
        <v>372</v>
      </c>
      <c r="E281" s="4" t="s">
        <v>37</v>
      </c>
      <c r="F281" s="6" t="str">
        <f>IFERROR(VLOOKUP(G281, 'Padronização'!A:C, 3, FALSE), "")</f>
        <v>ABM/MAS aplicado à evacuação</v>
      </c>
      <c r="G281" s="17" t="s">
        <v>45</v>
      </c>
      <c r="H281" s="19"/>
    </row>
    <row r="282" ht="22.5" customHeight="1">
      <c r="A282" s="4" t="s">
        <v>30</v>
      </c>
      <c r="B282" s="4">
        <v>2024.0</v>
      </c>
      <c r="C282" s="4" t="s">
        <v>33</v>
      </c>
      <c r="D282" s="4" t="s">
        <v>446</v>
      </c>
      <c r="E282" s="4" t="s">
        <v>37</v>
      </c>
      <c r="F282" s="6" t="str">
        <f>IFERROR(VLOOKUP(G282, 'Padronização'!A:C, 3, FALSE), "")</f>
        <v>ABM/MAS aplicado à evacuação</v>
      </c>
      <c r="G282" s="17" t="s">
        <v>45</v>
      </c>
      <c r="H282" s="19"/>
    </row>
    <row r="283" ht="22.5" hidden="1" customHeight="1">
      <c r="A283" s="4" t="s">
        <v>30</v>
      </c>
      <c r="B283" s="4">
        <v>2024.0</v>
      </c>
      <c r="C283" s="4" t="s">
        <v>33</v>
      </c>
      <c r="D283" s="4" t="s">
        <v>448</v>
      </c>
      <c r="E283" s="4" t="s">
        <v>41</v>
      </c>
      <c r="F283" s="6" t="str">
        <f>IFERROR(VLOOKUP(G283, 'Padronização'!A:C, 3, FALSE), "")</f>
        <v>Emergência sem evacuação clara</v>
      </c>
      <c r="G283" s="17" t="s">
        <v>43</v>
      </c>
      <c r="H283" s="19"/>
    </row>
    <row r="284" ht="22.5" hidden="1" customHeight="1">
      <c r="A284" s="4" t="s">
        <v>30</v>
      </c>
      <c r="B284" s="4">
        <v>2024.0</v>
      </c>
      <c r="C284" s="4" t="s">
        <v>33</v>
      </c>
      <c r="D284" s="4" t="s">
        <v>450</v>
      </c>
      <c r="E284" s="4" t="s">
        <v>8</v>
      </c>
      <c r="F284" s="6" t="str">
        <f>IFERROR(VLOOKUP(G284, 'Padronização'!A:C, 3, FALSE), "")</f>
        <v>Telecomunicações emergenciais / alocação de rede; foco técnico</v>
      </c>
      <c r="G284" s="17" t="s">
        <v>5</v>
      </c>
      <c r="H284" s="19"/>
    </row>
    <row r="285" ht="22.5" hidden="1" customHeight="1">
      <c r="A285" s="4" t="s">
        <v>30</v>
      </c>
      <c r="B285" s="4">
        <v>2024.0</v>
      </c>
      <c r="C285" s="4" t="s">
        <v>33</v>
      </c>
      <c r="D285" s="4" t="s">
        <v>452</v>
      </c>
      <c r="E285" s="4" t="s">
        <v>8</v>
      </c>
      <c r="F285" s="6" t="str">
        <f>IFERROR(VLOOKUP(G285, 'Padronização'!A:C, 3, FALSE), "")</f>
        <v>Telecomunicações emergenciais / alocação de rede; foco técnico</v>
      </c>
      <c r="G285" s="17" t="s">
        <v>5</v>
      </c>
      <c r="H285" s="19"/>
    </row>
    <row r="286" ht="22.5" hidden="1" customHeight="1">
      <c r="A286" s="4" t="s">
        <v>30</v>
      </c>
      <c r="B286" s="4">
        <v>2024.0</v>
      </c>
      <c r="C286" s="4" t="s">
        <v>33</v>
      </c>
      <c r="D286" s="4" t="s">
        <v>453</v>
      </c>
      <c r="E286" s="4" t="s">
        <v>8</v>
      </c>
      <c r="F286" s="6" t="str">
        <f>IFERROR(VLOOKUP(G286, 'Padronização'!A:C, 3, FALSE), "")</f>
        <v>Telecomunicações emergenciais / alocação de rede; foco técnico</v>
      </c>
      <c r="G286" s="17" t="s">
        <v>5</v>
      </c>
      <c r="H286" s="19"/>
    </row>
    <row r="287" ht="22.5" hidden="1" customHeight="1">
      <c r="A287" s="4" t="s">
        <v>30</v>
      </c>
      <c r="B287" s="4">
        <v>2024.0</v>
      </c>
      <c r="C287" s="4" t="s">
        <v>33</v>
      </c>
      <c r="D287" s="4" t="s">
        <v>455</v>
      </c>
      <c r="E287" s="4" t="s">
        <v>41</v>
      </c>
      <c r="F287" s="6" t="str">
        <f>IFERROR(VLOOKUP(G287, 'Padronização'!A:C, 3, FALSE), "")</f>
        <v>Emergência sem evacuação clara</v>
      </c>
      <c r="G287" s="17" t="s">
        <v>43</v>
      </c>
      <c r="H287" s="19"/>
    </row>
    <row r="288" ht="22.5" customHeight="1">
      <c r="A288" s="4" t="s">
        <v>30</v>
      </c>
      <c r="B288" s="4">
        <v>2024.0</v>
      </c>
      <c r="C288" s="4" t="s">
        <v>33</v>
      </c>
      <c r="D288" s="4" t="s">
        <v>375</v>
      </c>
      <c r="E288" s="4" t="s">
        <v>37</v>
      </c>
      <c r="F288" s="6" t="str">
        <f>IFERROR(VLOOKUP(G288, 'Padronização'!A:C, 3, FALSE), "")</f>
        <v>ABM/MAS focado em comportamento humano cognitivo</v>
      </c>
      <c r="G288" s="17" t="s">
        <v>47</v>
      </c>
      <c r="H288" s="19"/>
    </row>
    <row r="289" ht="22.5" customHeight="1">
      <c r="A289" s="4" t="s">
        <v>30</v>
      </c>
      <c r="B289" s="4">
        <v>2024.0</v>
      </c>
      <c r="C289" s="4" t="s">
        <v>33</v>
      </c>
      <c r="D289" s="4" t="s">
        <v>458</v>
      </c>
      <c r="E289" s="4" t="s">
        <v>37</v>
      </c>
      <c r="F289" s="6" t="str">
        <f>IFERROR(VLOOKUP(G289, 'Padronização'!A:C, 3, FALSE), "")</f>
        <v>ABM/MAS focado em comportamento humano cognitivo</v>
      </c>
      <c r="G289" s="17" t="s">
        <v>47</v>
      </c>
      <c r="H289" s="19"/>
    </row>
    <row r="290" ht="22.5" hidden="1" customHeight="1">
      <c r="A290" s="4" t="s">
        <v>30</v>
      </c>
      <c r="B290" s="4">
        <v>2024.0</v>
      </c>
      <c r="C290" s="4" t="s">
        <v>33</v>
      </c>
      <c r="D290" s="4" t="s">
        <v>459</v>
      </c>
      <c r="E290" s="4" t="s">
        <v>8</v>
      </c>
      <c r="F290" s="6" t="str">
        <f>IFERROR(VLOOKUP(G290, 'Padronização'!A:C, 3, FALSE), "")</f>
        <v>Não aborda cenário de crise ou desastre</v>
      </c>
      <c r="G290" s="17" t="s">
        <v>31</v>
      </c>
      <c r="H290" s="19"/>
    </row>
    <row r="291" ht="22.5" hidden="1" customHeight="1">
      <c r="A291" s="4" t="s">
        <v>30</v>
      </c>
      <c r="B291" s="4">
        <v>2024.0</v>
      </c>
      <c r="C291" s="4" t="s">
        <v>33</v>
      </c>
      <c r="D291" s="4" t="s">
        <v>461</v>
      </c>
      <c r="E291" s="4" t="s">
        <v>41</v>
      </c>
      <c r="F291" s="6" t="str">
        <f>IFERROR(VLOOKUP(G291, 'Padronização'!A:C, 3, FALSE), "")</f>
        <v>Emergência sem evacuação clara</v>
      </c>
      <c r="G291" s="17" t="s">
        <v>43</v>
      </c>
      <c r="H291" s="19"/>
    </row>
    <row r="292" ht="22.5" hidden="1" customHeight="1">
      <c r="A292" s="4" t="s">
        <v>30</v>
      </c>
      <c r="B292" s="4">
        <v>2024.0</v>
      </c>
      <c r="C292" s="4" t="s">
        <v>33</v>
      </c>
      <c r="D292" s="4" t="s">
        <v>462</v>
      </c>
      <c r="E292" s="4" t="s">
        <v>8</v>
      </c>
      <c r="F292" s="6" t="str">
        <f>IFERROR(VLOOKUP(G292, 'Padronização'!A:C, 3, FALSE), "")</f>
        <v>Não aborda cenário de crise ou desastre</v>
      </c>
      <c r="G292" s="17" t="s">
        <v>31</v>
      </c>
      <c r="H292" s="19"/>
    </row>
    <row r="293" ht="22.5" hidden="1" customHeight="1">
      <c r="A293" s="4" t="s">
        <v>30</v>
      </c>
      <c r="B293" s="4">
        <v>2024.0</v>
      </c>
      <c r="C293" s="4" t="s">
        <v>33</v>
      </c>
      <c r="D293" s="4" t="s">
        <v>463</v>
      </c>
      <c r="E293" s="4" t="s">
        <v>8</v>
      </c>
      <c r="F293" s="6" t="str">
        <f>IFERROR(VLOOKUP(G293, 'Padronização'!A:C, 3, FALSE), "")</f>
        <v>Telecomunicações emergenciais / alocação de rede; foco técnico</v>
      </c>
      <c r="G293" s="17" t="s">
        <v>5</v>
      </c>
      <c r="H293" s="19"/>
    </row>
    <row r="294" ht="22.5" hidden="1" customHeight="1">
      <c r="A294" s="4" t="s">
        <v>30</v>
      </c>
      <c r="B294" s="4">
        <v>2024.0</v>
      </c>
      <c r="C294" s="4" t="s">
        <v>33</v>
      </c>
      <c r="D294" s="4" t="s">
        <v>465</v>
      </c>
      <c r="E294" s="4" t="s">
        <v>8</v>
      </c>
      <c r="F294" s="6" t="str">
        <f>IFERROR(VLOOKUP(G294, 'Padronização'!A:C, 3, FALSE), "")</f>
        <v>Não aborda cenário de crise ou desastre</v>
      </c>
      <c r="G294" s="17" t="s">
        <v>31</v>
      </c>
      <c r="H294" s="19"/>
    </row>
    <row r="295" ht="22.5" hidden="1" customHeight="1">
      <c r="A295" s="4" t="s">
        <v>30</v>
      </c>
      <c r="B295" s="4">
        <v>2024.0</v>
      </c>
      <c r="C295" s="4" t="s">
        <v>33</v>
      </c>
      <c r="D295" s="4" t="s">
        <v>466</v>
      </c>
      <c r="E295" s="4" t="s">
        <v>8</v>
      </c>
      <c r="F295" s="6" t="str">
        <f>IFERROR(VLOOKUP(G295, 'Padronização'!A:C, 3, FALSE), "")</f>
        <v>Não aborda cenário de crise ou desastre</v>
      </c>
      <c r="G295" s="17" t="s">
        <v>31</v>
      </c>
      <c r="H295" s="19"/>
    </row>
    <row r="296" ht="22.5" hidden="1" customHeight="1">
      <c r="A296" s="4" t="s">
        <v>30</v>
      </c>
      <c r="B296" s="4">
        <v>2024.0</v>
      </c>
      <c r="C296" s="4" t="s">
        <v>33</v>
      </c>
      <c r="D296" s="4" t="s">
        <v>468</v>
      </c>
      <c r="E296" s="4" t="s">
        <v>41</v>
      </c>
      <c r="F296" s="6" t="str">
        <f>IFERROR(VLOOKUP(G296, 'Padronização'!A:C, 3, FALSE), "")</f>
        <v>Emergência sem evacuação clara</v>
      </c>
      <c r="G296" s="17" t="s">
        <v>43</v>
      </c>
      <c r="H296" s="19"/>
    </row>
    <row r="297" ht="22.5" customHeight="1">
      <c r="A297" s="4" t="s">
        <v>30</v>
      </c>
      <c r="B297" s="4">
        <v>2024.0</v>
      </c>
      <c r="C297" s="4" t="s">
        <v>33</v>
      </c>
      <c r="D297" s="4" t="s">
        <v>469</v>
      </c>
      <c r="E297" s="4" t="s">
        <v>37</v>
      </c>
      <c r="F297" s="6" t="str">
        <f>IFERROR(VLOOKUP(G297, 'Padronização'!A:C, 3, FALSE), "")</f>
        <v>ABM/MAS focado em comportamento humano cognitivo</v>
      </c>
      <c r="G297" s="17" t="s">
        <v>47</v>
      </c>
      <c r="H297" s="19"/>
    </row>
    <row r="298" ht="22.5" hidden="1" customHeight="1">
      <c r="A298" s="4" t="s">
        <v>30</v>
      </c>
      <c r="B298" s="4">
        <v>2024.0</v>
      </c>
      <c r="C298" s="4" t="s">
        <v>33</v>
      </c>
      <c r="D298" s="4" t="s">
        <v>470</v>
      </c>
      <c r="E298" s="4" t="s">
        <v>8</v>
      </c>
      <c r="F298" s="6" t="str">
        <f>IFERROR(VLOOKUP(G298, 'Padronização'!A:C, 3, FALSE), "")</f>
        <v>Não aborda cenário de crise ou desastre</v>
      </c>
      <c r="G298" s="17" t="s">
        <v>31</v>
      </c>
      <c r="H298" s="19"/>
    </row>
    <row r="299" ht="22.5" hidden="1" customHeight="1">
      <c r="A299" s="4" t="s">
        <v>30</v>
      </c>
      <c r="B299" s="4">
        <v>2024.0</v>
      </c>
      <c r="C299" s="4" t="s">
        <v>33</v>
      </c>
      <c r="D299" s="4" t="s">
        <v>471</v>
      </c>
      <c r="E299" s="4" t="s">
        <v>8</v>
      </c>
      <c r="F299" s="6" t="str">
        <f>IFERROR(VLOOKUP(G299, 'Padronização'!A:C, 3, FALSE), "")</f>
        <v>Não aborda cenário de crise ou desastre</v>
      </c>
      <c r="G299" s="17" t="s">
        <v>31</v>
      </c>
      <c r="H299" s="19"/>
    </row>
    <row r="300" ht="22.5" hidden="1" customHeight="1">
      <c r="A300" s="4" t="s">
        <v>30</v>
      </c>
      <c r="B300" s="4">
        <v>2024.0</v>
      </c>
      <c r="C300" s="4" t="s">
        <v>33</v>
      </c>
      <c r="D300" s="4" t="s">
        <v>473</v>
      </c>
      <c r="E300" s="4" t="s">
        <v>8</v>
      </c>
      <c r="F300" s="6" t="str">
        <f>IFERROR(VLOOKUP(G300, 'Padronização'!A:C, 3, FALSE), "")</f>
        <v>Não aborda cenário de crise ou desastre</v>
      </c>
      <c r="G300" s="17" t="s">
        <v>31</v>
      </c>
      <c r="H300" s="19"/>
    </row>
    <row r="301" ht="22.5" hidden="1" customHeight="1">
      <c r="A301" s="4" t="s">
        <v>30</v>
      </c>
      <c r="B301" s="4">
        <v>2024.0</v>
      </c>
      <c r="C301" s="4" t="s">
        <v>33</v>
      </c>
      <c r="D301" s="4" t="s">
        <v>474</v>
      </c>
      <c r="E301" s="4" t="s">
        <v>8</v>
      </c>
      <c r="F301" s="6" t="str">
        <f>IFERROR(VLOOKUP(G301, 'Padronização'!A:C, 3, FALSE), "")</f>
        <v>Não aborda cenário de crise ou desastre</v>
      </c>
      <c r="G301" s="17" t="s">
        <v>31</v>
      </c>
      <c r="H301" s="19"/>
    </row>
    <row r="302" ht="22.5" hidden="1" customHeight="1">
      <c r="A302" s="4" t="s">
        <v>30</v>
      </c>
      <c r="B302" s="4">
        <v>2024.0</v>
      </c>
      <c r="C302" s="4" t="s">
        <v>33</v>
      </c>
      <c r="D302" s="4" t="s">
        <v>476</v>
      </c>
      <c r="E302" s="4" t="s">
        <v>8</v>
      </c>
      <c r="F302" s="6" t="str">
        <f>IFERROR(VLOOKUP(G302, 'Padronização'!A:C, 3, FALSE), "")</f>
        <v>Não aborda cenário de crise ou desastre</v>
      </c>
      <c r="G302" s="17" t="s">
        <v>31</v>
      </c>
      <c r="H302" s="19"/>
    </row>
    <row r="303" ht="22.5" hidden="1" customHeight="1">
      <c r="A303" s="4" t="s">
        <v>30</v>
      </c>
      <c r="B303" s="4">
        <v>2024.0</v>
      </c>
      <c r="C303" s="4" t="s">
        <v>33</v>
      </c>
      <c r="D303" s="4" t="s">
        <v>477</v>
      </c>
      <c r="E303" s="4" t="s">
        <v>8</v>
      </c>
      <c r="F303" s="6" t="str">
        <f>IFERROR(VLOOKUP(G303, 'Padronização'!A:C, 3, FALSE), "")</f>
        <v>Artigo metodológico genérico (framework, design, how-to)</v>
      </c>
      <c r="G303" s="17" t="s">
        <v>27</v>
      </c>
      <c r="H303" s="19"/>
    </row>
    <row r="304" ht="22.5" customHeight="1">
      <c r="A304" s="4" t="s">
        <v>30</v>
      </c>
      <c r="B304" s="4">
        <v>2024.0</v>
      </c>
      <c r="C304" s="4" t="s">
        <v>33</v>
      </c>
      <c r="D304" s="4" t="s">
        <v>479</v>
      </c>
      <c r="E304" s="4" t="s">
        <v>37</v>
      </c>
      <c r="F304" s="6" t="str">
        <f>IFERROR(VLOOKUP(G304, 'Padronização'!A:C, 3, FALSE), "")</f>
        <v>ABM/MAS focado em comportamento humano cognitivo</v>
      </c>
      <c r="G304" s="17" t="s">
        <v>47</v>
      </c>
      <c r="H304" s="19"/>
    </row>
    <row r="305" ht="22.5" customHeight="1">
      <c r="A305" s="4" t="s">
        <v>30</v>
      </c>
      <c r="B305" s="4">
        <v>2024.0</v>
      </c>
      <c r="C305" s="4" t="s">
        <v>87</v>
      </c>
      <c r="D305" s="4" t="s">
        <v>480</v>
      </c>
      <c r="E305" s="4" t="s">
        <v>37</v>
      </c>
      <c r="F305" s="6" t="str">
        <f>IFERROR(VLOOKUP(G305, 'Padronização'!A:C, 3, FALSE), "")</f>
        <v>ABM/MAS aplicado à evacuação</v>
      </c>
      <c r="G305" s="17" t="s">
        <v>45</v>
      </c>
      <c r="H305" s="19"/>
    </row>
    <row r="306" ht="22.5" customHeight="1">
      <c r="A306" s="4" t="s">
        <v>30</v>
      </c>
      <c r="B306" s="4">
        <v>2024.0</v>
      </c>
      <c r="C306" s="4" t="s">
        <v>87</v>
      </c>
      <c r="D306" s="4" t="s">
        <v>481</v>
      </c>
      <c r="E306" s="4" t="s">
        <v>37</v>
      </c>
      <c r="F306" s="6" t="str">
        <f>IFERROR(VLOOKUP(G306, 'Padronização'!A:C, 3, FALSE), "")</f>
        <v>ABM/MAS focado em comportamento humano cognitivo</v>
      </c>
      <c r="G306" s="20" t="s">
        <v>47</v>
      </c>
      <c r="H306" s="19"/>
    </row>
    <row r="307" ht="22.5" customHeight="1">
      <c r="A307" s="4" t="s">
        <v>30</v>
      </c>
      <c r="B307" s="4">
        <v>2024.0</v>
      </c>
      <c r="C307" s="4" t="s">
        <v>33</v>
      </c>
      <c r="D307" s="4" t="s">
        <v>482</v>
      </c>
      <c r="E307" s="4" t="s">
        <v>37</v>
      </c>
      <c r="F307" s="6" t="str">
        <f>IFERROR(VLOOKUP(G307, 'Padronização'!A:C, 3, FALSE), "")</f>
        <v>ABM/MAS aplicado à evacuação</v>
      </c>
      <c r="G307" s="17" t="s">
        <v>45</v>
      </c>
      <c r="H307" s="19"/>
    </row>
    <row r="308" ht="22.5" hidden="1" customHeight="1">
      <c r="A308" s="4" t="s">
        <v>30</v>
      </c>
      <c r="B308" s="4">
        <v>2024.0</v>
      </c>
      <c r="C308" s="4" t="s">
        <v>87</v>
      </c>
      <c r="D308" s="4" t="s">
        <v>484</v>
      </c>
      <c r="E308" s="4" t="s">
        <v>37</v>
      </c>
      <c r="F308" s="6" t="str">
        <f>IFERROR(VLOOKUP(G308, 'Padronização'!A:C, 3, FALSE), "")</f>
        <v>ABM/MAS aplicado à evacuação</v>
      </c>
      <c r="G308" s="20" t="s">
        <v>45</v>
      </c>
      <c r="H308" s="30" t="s">
        <v>302</v>
      </c>
    </row>
    <row r="309" ht="22.5" customHeight="1">
      <c r="A309" s="4" t="s">
        <v>30</v>
      </c>
      <c r="B309" s="4">
        <v>2024.0</v>
      </c>
      <c r="C309" s="4" t="s">
        <v>87</v>
      </c>
      <c r="D309" s="4" t="s">
        <v>397</v>
      </c>
      <c r="E309" s="4" t="s">
        <v>37</v>
      </c>
      <c r="F309" s="6" t="str">
        <f>IFERROR(VLOOKUP(G309, 'Padronização'!A:C, 3, FALSE), "")</f>
        <v>ABM/MAS focado em comportamento humano cognitivo</v>
      </c>
      <c r="G309" s="17" t="s">
        <v>47</v>
      </c>
      <c r="H309" s="19"/>
    </row>
    <row r="310" ht="22.5" hidden="1" customHeight="1">
      <c r="A310" s="4" t="s">
        <v>30</v>
      </c>
      <c r="B310" s="4">
        <v>2024.0</v>
      </c>
      <c r="C310" s="4" t="s">
        <v>87</v>
      </c>
      <c r="D310" s="4" t="s">
        <v>486</v>
      </c>
      <c r="E310" s="4" t="s">
        <v>41</v>
      </c>
      <c r="F310" s="6" t="str">
        <f>IFERROR(VLOOKUP(G310, 'Padronização'!A:C, 3, FALSE), "")</f>
        <v>Emergência sem evacuação clara</v>
      </c>
      <c r="G310" s="17" t="s">
        <v>43</v>
      </c>
      <c r="H310" s="19"/>
    </row>
    <row r="311" ht="22.5" customHeight="1">
      <c r="A311" s="4" t="s">
        <v>30</v>
      </c>
      <c r="B311" s="4">
        <v>2024.0</v>
      </c>
      <c r="C311" s="4" t="s">
        <v>33</v>
      </c>
      <c r="D311" s="4" t="s">
        <v>400</v>
      </c>
      <c r="E311" s="4" t="s">
        <v>37</v>
      </c>
      <c r="F311" s="6" t="str">
        <f>IFERROR(VLOOKUP(G311, 'Padronização'!A:C, 3, FALSE), "")</f>
        <v>ABM/MAS focado em comportamento humano cognitivo</v>
      </c>
      <c r="G311" s="17" t="s">
        <v>47</v>
      </c>
      <c r="H311" s="19"/>
    </row>
    <row r="312" ht="22.5" customHeight="1">
      <c r="A312" s="4" t="s">
        <v>30</v>
      </c>
      <c r="B312" s="4">
        <v>2024.0</v>
      </c>
      <c r="C312" s="4" t="s">
        <v>33</v>
      </c>
      <c r="D312" s="4" t="s">
        <v>402</v>
      </c>
      <c r="E312" s="4" t="s">
        <v>37</v>
      </c>
      <c r="F312" s="6" t="str">
        <f>IFERROR(VLOOKUP(G312, 'Padronização'!A:C, 3, FALSE), "")</f>
        <v>ABM/MAS aplicado à evacuação</v>
      </c>
      <c r="G312" s="17" t="s">
        <v>45</v>
      </c>
      <c r="H312" s="19"/>
    </row>
    <row r="313" ht="22.5" hidden="1" customHeight="1">
      <c r="A313" s="4" t="s">
        <v>30</v>
      </c>
      <c r="B313" s="4">
        <v>2024.0</v>
      </c>
      <c r="C313" s="4" t="s">
        <v>87</v>
      </c>
      <c r="D313" s="4" t="s">
        <v>488</v>
      </c>
      <c r="E313" s="4" t="s">
        <v>41</v>
      </c>
      <c r="F313" s="6" t="str">
        <f>IFERROR(VLOOKUP(G313, 'Padronização'!A:C, 3, FALSE), "")</f>
        <v>Emergência sem evacuação clara</v>
      </c>
      <c r="G313" s="17" t="s">
        <v>43</v>
      </c>
      <c r="H313" s="19"/>
    </row>
    <row r="314" ht="22.5" customHeight="1">
      <c r="A314" s="4" t="s">
        <v>30</v>
      </c>
      <c r="B314" s="4">
        <v>2024.0</v>
      </c>
      <c r="C314" s="4" t="s">
        <v>33</v>
      </c>
      <c r="D314" s="4" t="s">
        <v>127</v>
      </c>
      <c r="E314" s="4" t="s">
        <v>37</v>
      </c>
      <c r="F314" s="6" t="str">
        <f>IFERROR(VLOOKUP(G314, 'Padronização'!A:C, 3, FALSE), "")</f>
        <v>ABM/MAS aplicado à evacuação</v>
      </c>
      <c r="G314" s="17" t="s">
        <v>45</v>
      </c>
      <c r="H314" s="19"/>
    </row>
    <row r="315" ht="22.5" hidden="1" customHeight="1">
      <c r="A315" s="4" t="s">
        <v>30</v>
      </c>
      <c r="B315" s="4">
        <v>2024.0</v>
      </c>
      <c r="C315" s="4" t="s">
        <v>33</v>
      </c>
      <c r="D315" s="4" t="s">
        <v>490</v>
      </c>
      <c r="E315" s="4" t="s">
        <v>41</v>
      </c>
      <c r="F315" s="6" t="str">
        <f>IFERROR(VLOOKUP(G315, 'Padronização'!A:C, 3, FALSE), "")</f>
        <v>Emergência sem evacuação clara</v>
      </c>
      <c r="G315" s="17" t="s">
        <v>43</v>
      </c>
      <c r="H315" s="19"/>
    </row>
    <row r="316" ht="22.5" customHeight="1">
      <c r="A316" s="4" t="s">
        <v>30</v>
      </c>
      <c r="B316" s="4">
        <v>2024.0</v>
      </c>
      <c r="C316" s="4" t="s">
        <v>33</v>
      </c>
      <c r="D316" s="31" t="s">
        <v>403</v>
      </c>
      <c r="E316" s="4" t="s">
        <v>37</v>
      </c>
      <c r="F316" s="6" t="str">
        <f>IFERROR(VLOOKUP(G316, 'Padronização'!A:C, 3, FALSE), "")</f>
        <v>ABM/MAS aplicado à evacuação</v>
      </c>
      <c r="G316" s="17" t="s">
        <v>45</v>
      </c>
      <c r="H316" s="19"/>
    </row>
    <row r="317" ht="22.5" customHeight="1">
      <c r="A317" s="4" t="s">
        <v>30</v>
      </c>
      <c r="B317" s="4">
        <v>2024.0</v>
      </c>
      <c r="C317" s="4" t="s">
        <v>87</v>
      </c>
      <c r="D317" s="4" t="s">
        <v>492</v>
      </c>
      <c r="E317" s="4" t="s">
        <v>37</v>
      </c>
      <c r="F317" s="6" t="str">
        <f>IFERROR(VLOOKUP(G317, 'Padronização'!A:C, 3, FALSE), "")</f>
        <v>ABM/MAS aplicado à evacuação</v>
      </c>
      <c r="G317" s="17" t="s">
        <v>45</v>
      </c>
      <c r="H317" s="19"/>
    </row>
    <row r="318" ht="22.5" hidden="1" customHeight="1">
      <c r="A318" s="4" t="s">
        <v>30</v>
      </c>
      <c r="B318" s="4">
        <v>2024.0</v>
      </c>
      <c r="C318" s="4" t="s">
        <v>87</v>
      </c>
      <c r="D318" s="4" t="s">
        <v>493</v>
      </c>
      <c r="E318" s="4" t="s">
        <v>41</v>
      </c>
      <c r="F318" s="6" t="str">
        <f>IFERROR(VLOOKUP(G318, 'Padronização'!A:C, 3, FALSE), "")</f>
        <v>Emergência sem evacuação clara</v>
      </c>
      <c r="G318" s="17" t="s">
        <v>43</v>
      </c>
      <c r="H318" s="19"/>
    </row>
    <row r="319" ht="22.5" hidden="1" customHeight="1">
      <c r="A319" s="4" t="s">
        <v>30</v>
      </c>
      <c r="B319" s="4">
        <v>2024.0</v>
      </c>
      <c r="C319" s="4" t="s">
        <v>33</v>
      </c>
      <c r="D319" s="4" t="s">
        <v>495</v>
      </c>
      <c r="E319" s="4" t="s">
        <v>41</v>
      </c>
      <c r="F319" s="6" t="str">
        <f>IFERROR(VLOOKUP(G319, 'Padronização'!A:C, 3, FALSE), "")</f>
        <v>Emergência sem evacuação clara</v>
      </c>
      <c r="G319" s="17" t="s">
        <v>43</v>
      </c>
      <c r="H319" s="19"/>
    </row>
    <row r="320" ht="22.5" hidden="1" customHeight="1">
      <c r="A320" s="4" t="s">
        <v>30</v>
      </c>
      <c r="B320" s="4">
        <v>2024.0</v>
      </c>
      <c r="C320" s="4" t="s">
        <v>33</v>
      </c>
      <c r="D320" s="4" t="s">
        <v>496</v>
      </c>
      <c r="E320" s="4" t="s">
        <v>41</v>
      </c>
      <c r="F320" s="6" t="str">
        <f>IFERROR(VLOOKUP(G320, 'Padronização'!A:C, 3, FALSE), "")</f>
        <v>Emergência sem evacuação clara</v>
      </c>
      <c r="G320" s="17" t="s">
        <v>43</v>
      </c>
      <c r="H320" s="19"/>
    </row>
    <row r="321" ht="22.5" hidden="1" customHeight="1">
      <c r="A321" s="4" t="s">
        <v>30</v>
      </c>
      <c r="B321" s="4">
        <v>2024.0</v>
      </c>
      <c r="C321" s="4" t="s">
        <v>87</v>
      </c>
      <c r="D321" s="4" t="s">
        <v>498</v>
      </c>
      <c r="E321" s="4" t="s">
        <v>41</v>
      </c>
      <c r="F321" s="6" t="str">
        <f>IFERROR(VLOOKUP(G321, 'Padronização'!A:C, 3, FALSE), "")</f>
        <v>Emergência sem evacuação clara</v>
      </c>
      <c r="G321" s="17" t="s">
        <v>43</v>
      </c>
      <c r="H321" s="19"/>
    </row>
    <row r="322" ht="22.5" hidden="1" customHeight="1">
      <c r="A322" s="4" t="s">
        <v>30</v>
      </c>
      <c r="B322" s="4">
        <v>2024.0</v>
      </c>
      <c r="C322" s="4" t="s">
        <v>87</v>
      </c>
      <c r="D322" s="4" t="s">
        <v>499</v>
      </c>
      <c r="E322" s="4" t="s">
        <v>8</v>
      </c>
      <c r="F322" s="6" t="str">
        <f>IFERROR(VLOOKUP(G322, 'Padronização'!A:C, 3, FALSE), "")</f>
        <v>Não aborda cenário de crise ou desastre</v>
      </c>
      <c r="G322" s="17" t="s">
        <v>31</v>
      </c>
      <c r="H322" s="19"/>
    </row>
    <row r="323" ht="22.5" hidden="1" customHeight="1">
      <c r="A323" s="4" t="s">
        <v>30</v>
      </c>
      <c r="B323" s="4">
        <v>2024.0</v>
      </c>
      <c r="C323" s="4" t="s">
        <v>87</v>
      </c>
      <c r="D323" s="4" t="s">
        <v>501</v>
      </c>
      <c r="E323" s="4" t="s">
        <v>8</v>
      </c>
      <c r="F323" s="6" t="str">
        <f>IFERROR(VLOOKUP(G323, 'Padronização'!A:C, 3, FALSE), "")</f>
        <v>Não aborda cenário de crise ou desastre</v>
      </c>
      <c r="G323" s="17" t="s">
        <v>31</v>
      </c>
      <c r="H323" s="19"/>
    </row>
    <row r="324" ht="22.5" hidden="1" customHeight="1">
      <c r="A324" s="4" t="s">
        <v>30</v>
      </c>
      <c r="B324" s="4">
        <v>2024.0</v>
      </c>
      <c r="C324" s="4" t="s">
        <v>87</v>
      </c>
      <c r="D324" s="4" t="s">
        <v>502</v>
      </c>
      <c r="E324" s="4" t="s">
        <v>41</v>
      </c>
      <c r="F324" s="6" t="str">
        <f>IFERROR(VLOOKUP(G324, 'Padronização'!A:C, 3, FALSE), "")</f>
        <v>Emergência sem evacuação clara</v>
      </c>
      <c r="G324" s="17" t="s">
        <v>43</v>
      </c>
      <c r="H324" s="19"/>
    </row>
    <row r="325" ht="22.5" hidden="1" customHeight="1">
      <c r="A325" s="4" t="s">
        <v>30</v>
      </c>
      <c r="B325" s="4">
        <v>2024.0</v>
      </c>
      <c r="C325" s="4" t="s">
        <v>33</v>
      </c>
      <c r="D325" s="4" t="s">
        <v>503</v>
      </c>
      <c r="E325" s="4" t="s">
        <v>8</v>
      </c>
      <c r="F325" s="6" t="str">
        <f>IFERROR(VLOOKUP(G325, 'Padronização'!A:C, 3, FALSE), "")</f>
        <v>Supply chain / impacto econômico indireto</v>
      </c>
      <c r="G325" s="17" t="s">
        <v>34</v>
      </c>
      <c r="H325" s="19"/>
    </row>
    <row r="326" ht="22.5" hidden="1" customHeight="1">
      <c r="A326" s="4" t="s">
        <v>30</v>
      </c>
      <c r="B326" s="4">
        <v>2024.0</v>
      </c>
      <c r="C326" s="4" t="s">
        <v>87</v>
      </c>
      <c r="D326" s="4" t="s">
        <v>505</v>
      </c>
      <c r="E326" s="4" t="s">
        <v>8</v>
      </c>
      <c r="F326" s="6" t="str">
        <f>IFERROR(VLOOKUP(G326, 'Padronização'!A:C, 3, FALSE), "")</f>
        <v>Emergência em saúde com foco operacional / Operação hospitalar</v>
      </c>
      <c r="G326" s="17" t="s">
        <v>38</v>
      </c>
      <c r="H326" s="19"/>
    </row>
    <row r="327" ht="22.5" hidden="1" customHeight="1">
      <c r="A327" s="4" t="s">
        <v>30</v>
      </c>
      <c r="B327" s="4">
        <v>2024.0</v>
      </c>
      <c r="C327" s="4" t="s">
        <v>87</v>
      </c>
      <c r="D327" s="4" t="s">
        <v>506</v>
      </c>
      <c r="E327" s="4" t="s">
        <v>8</v>
      </c>
      <c r="F327" s="6" t="str">
        <f>IFERROR(VLOOKUP(G327, 'Padronização'!A:C, 3, FALSE), "")</f>
        <v>Supply chain / impacto econômico indireto</v>
      </c>
      <c r="G327" s="20" t="s">
        <v>34</v>
      </c>
      <c r="H327" s="19"/>
    </row>
    <row r="328" ht="22.5" hidden="1" customHeight="1">
      <c r="A328" s="4" t="s">
        <v>30</v>
      </c>
      <c r="B328" s="4">
        <v>2024.0</v>
      </c>
      <c r="C328" s="4" t="s">
        <v>87</v>
      </c>
      <c r="D328" s="4" t="s">
        <v>508</v>
      </c>
      <c r="E328" s="4" t="s">
        <v>8</v>
      </c>
      <c r="F328" s="6" t="str">
        <f>IFERROR(VLOOKUP(G328, 'Padronização'!A:C, 3, FALSE), "")</f>
        <v>Não aborda cenário de crise ou desastre</v>
      </c>
      <c r="G328" s="17" t="s">
        <v>31</v>
      </c>
      <c r="H328" s="19"/>
    </row>
    <row r="329" ht="22.5" customHeight="1">
      <c r="A329" s="4" t="s">
        <v>30</v>
      </c>
      <c r="B329" s="4">
        <v>2024.0</v>
      </c>
      <c r="C329" s="4" t="s">
        <v>87</v>
      </c>
      <c r="D329" s="4" t="s">
        <v>405</v>
      </c>
      <c r="E329" s="4" t="s">
        <v>37</v>
      </c>
      <c r="F329" s="6" t="str">
        <f>IFERROR(VLOOKUP(G329, 'Padronização'!A:C, 3, FALSE), "")</f>
        <v>ABM/MAS focado em comportamento humano cognitivo</v>
      </c>
      <c r="G329" s="17" t="s">
        <v>47</v>
      </c>
      <c r="H329" s="19"/>
    </row>
    <row r="330" ht="22.5" hidden="1" customHeight="1">
      <c r="A330" s="4" t="s">
        <v>30</v>
      </c>
      <c r="B330" s="4">
        <v>2024.0</v>
      </c>
      <c r="C330" s="4" t="s">
        <v>87</v>
      </c>
      <c r="D330" s="4" t="s">
        <v>509</v>
      </c>
      <c r="E330" s="4" t="s">
        <v>8</v>
      </c>
      <c r="F330" s="6" t="str">
        <f>IFERROR(VLOOKUP(G330, 'Padronização'!A:C, 3, FALSE), "")</f>
        <v>Emergência em saúde com foco operacional / Operação hospitalar</v>
      </c>
      <c r="G330" s="17" t="s">
        <v>38</v>
      </c>
      <c r="H330" s="19"/>
    </row>
    <row r="331" ht="22.5" hidden="1" customHeight="1">
      <c r="A331" s="4" t="s">
        <v>30</v>
      </c>
      <c r="B331" s="4">
        <v>2024.0</v>
      </c>
      <c r="C331" s="4" t="s">
        <v>87</v>
      </c>
      <c r="D331" s="4" t="s">
        <v>511</v>
      </c>
      <c r="E331" s="4" t="s">
        <v>41</v>
      </c>
      <c r="F331" s="6" t="str">
        <f>IFERROR(VLOOKUP(G331, 'Padronização'!A:C, 3, FALSE), "")</f>
        <v>Emergência sem evacuação clara</v>
      </c>
      <c r="G331" s="17" t="s">
        <v>43</v>
      </c>
      <c r="H331" s="19"/>
    </row>
    <row r="332" ht="22.5" customHeight="1">
      <c r="A332" s="4" t="s">
        <v>30</v>
      </c>
      <c r="B332" s="4">
        <v>2024.0</v>
      </c>
      <c r="C332" s="4" t="s">
        <v>87</v>
      </c>
      <c r="D332" s="4" t="s">
        <v>406</v>
      </c>
      <c r="E332" s="4" t="s">
        <v>37</v>
      </c>
      <c r="F332" s="6" t="str">
        <f>IFERROR(VLOOKUP(G332, 'Padronização'!A:C, 3, FALSE), "")</f>
        <v>ABM/MAS focado em comportamento humano cognitivo</v>
      </c>
      <c r="G332" s="17" t="s">
        <v>47</v>
      </c>
      <c r="H332" s="19"/>
    </row>
    <row r="333" ht="22.5" hidden="1" customHeight="1">
      <c r="A333" s="4" t="s">
        <v>30</v>
      </c>
      <c r="B333" s="4">
        <v>2024.0</v>
      </c>
      <c r="C333" s="4" t="s">
        <v>87</v>
      </c>
      <c r="D333" s="4" t="s">
        <v>513</v>
      </c>
      <c r="E333" s="4" t="s">
        <v>8</v>
      </c>
      <c r="F333" s="6" t="str">
        <f>IFERROR(VLOOKUP(G333, 'Padronização'!A:C, 3, FALSE), "")</f>
        <v>Não aborda cenário de crise ou desastre</v>
      </c>
      <c r="G333" s="17" t="s">
        <v>31</v>
      </c>
      <c r="H333" s="19"/>
    </row>
    <row r="334" ht="22.5" hidden="1" customHeight="1">
      <c r="A334" s="4" t="s">
        <v>30</v>
      </c>
      <c r="B334" s="4">
        <v>2024.0</v>
      </c>
      <c r="C334" s="4" t="s">
        <v>33</v>
      </c>
      <c r="D334" s="4" t="s">
        <v>514</v>
      </c>
      <c r="E334" s="4" t="s">
        <v>8</v>
      </c>
      <c r="F334" s="6" t="str">
        <f>IFERROR(VLOOKUP(G334, 'Padronização'!A:C, 3, FALSE), "")</f>
        <v>Transporte / tráfego em operação normal</v>
      </c>
      <c r="G334" s="17" t="s">
        <v>19</v>
      </c>
      <c r="H334" s="19"/>
    </row>
    <row r="335" ht="22.5" hidden="1" customHeight="1">
      <c r="A335" s="4" t="s">
        <v>30</v>
      </c>
      <c r="B335" s="4">
        <v>2024.0</v>
      </c>
      <c r="C335" s="4" t="s">
        <v>87</v>
      </c>
      <c r="D335" s="4" t="s">
        <v>516</v>
      </c>
      <c r="E335" s="4" t="s">
        <v>8</v>
      </c>
      <c r="F335" s="6" t="str">
        <f>IFERROR(VLOOKUP(G335, 'Padronização'!A:C, 3, FALSE), "")</f>
        <v>Telecomunicações emergenciais / alocação de rede; foco técnico</v>
      </c>
      <c r="G335" s="17" t="s">
        <v>5</v>
      </c>
      <c r="H335" s="19"/>
    </row>
    <row r="336" ht="22.5" hidden="1" customHeight="1">
      <c r="A336" s="4" t="s">
        <v>30</v>
      </c>
      <c r="B336" s="4">
        <v>2024.0</v>
      </c>
      <c r="C336" s="4" t="s">
        <v>87</v>
      </c>
      <c r="D336" s="4" t="s">
        <v>517</v>
      </c>
      <c r="E336" s="4" t="s">
        <v>8</v>
      </c>
      <c r="F336" s="6" t="str">
        <f>IFERROR(VLOOKUP(G336, 'Padronização'!A:C, 3, FALSE), "")</f>
        <v>Emergência em saúde com foco operacional / Operação hospitalar</v>
      </c>
      <c r="G336" s="20" t="s">
        <v>38</v>
      </c>
      <c r="H336" s="19"/>
    </row>
    <row r="337" ht="22.5" hidden="1" customHeight="1">
      <c r="A337" s="4" t="s">
        <v>30</v>
      </c>
      <c r="B337" s="4">
        <v>2024.0</v>
      </c>
      <c r="C337" s="4" t="s">
        <v>87</v>
      </c>
      <c r="D337" s="4" t="s">
        <v>519</v>
      </c>
      <c r="E337" s="4" t="s">
        <v>41</v>
      </c>
      <c r="F337" s="6" t="str">
        <f>IFERROR(VLOOKUP(G337, 'Padronização'!A:C, 3, FALSE), "")</f>
        <v>Emergência sem evacuação clara</v>
      </c>
      <c r="G337" s="17" t="s">
        <v>43</v>
      </c>
      <c r="H337" s="19"/>
    </row>
    <row r="338" ht="22.5" hidden="1" customHeight="1">
      <c r="A338" s="4" t="s">
        <v>30</v>
      </c>
      <c r="B338" s="4">
        <v>2024.0</v>
      </c>
      <c r="C338" s="4" t="s">
        <v>87</v>
      </c>
      <c r="D338" s="4" t="s">
        <v>520</v>
      </c>
      <c r="E338" s="4" t="s">
        <v>8</v>
      </c>
      <c r="F338" s="6" t="str">
        <f>IFERROR(VLOOKUP(G338, 'Padronização'!A:C, 3, FALSE), "")</f>
        <v>Não aborda cenário de crise ou desastre</v>
      </c>
      <c r="G338" s="17" t="s">
        <v>31</v>
      </c>
      <c r="H338" s="19"/>
    </row>
    <row r="339" ht="22.5" hidden="1" customHeight="1">
      <c r="A339" s="4" t="s">
        <v>30</v>
      </c>
      <c r="B339" s="4">
        <v>2024.0</v>
      </c>
      <c r="C339" s="4" t="s">
        <v>87</v>
      </c>
      <c r="D339" s="4" t="s">
        <v>522</v>
      </c>
      <c r="E339" s="4" t="s">
        <v>8</v>
      </c>
      <c r="F339" s="6" t="str">
        <f>IFERROR(VLOOKUP(G339, 'Padronização'!A:C, 3, FALSE), "")</f>
        <v>Não aborda cenário de crise ou desastre</v>
      </c>
      <c r="G339" s="17" t="s">
        <v>31</v>
      </c>
      <c r="H339" s="19"/>
    </row>
    <row r="340" ht="22.5" hidden="1" customHeight="1">
      <c r="A340" s="4" t="s">
        <v>30</v>
      </c>
      <c r="B340" s="4">
        <v>2024.0</v>
      </c>
      <c r="C340" s="4" t="s">
        <v>87</v>
      </c>
      <c r="D340" s="4" t="s">
        <v>523</v>
      </c>
      <c r="E340" s="4" t="s">
        <v>8</v>
      </c>
      <c r="F340" s="6" t="str">
        <f>IFERROR(VLOOKUP(G340, 'Padronização'!A:C, 3, FALSE), "")</f>
        <v>Emergência em saúde com foco operacional / Operação hospitalar</v>
      </c>
      <c r="G340" s="20" t="s">
        <v>38</v>
      </c>
      <c r="H340" s="19"/>
    </row>
    <row r="341" ht="22.5" customHeight="1">
      <c r="A341" s="4" t="s">
        <v>30</v>
      </c>
      <c r="B341" s="4">
        <v>2024.0</v>
      </c>
      <c r="C341" s="4" t="s">
        <v>33</v>
      </c>
      <c r="D341" s="4" t="s">
        <v>525</v>
      </c>
      <c r="E341" s="4" t="s">
        <v>37</v>
      </c>
      <c r="F341" s="6" t="str">
        <f>IFERROR(VLOOKUP(G341, 'Padronização'!A:C, 3, FALSE), "")</f>
        <v>ABM/MAS focado em comportamento humano cognitivo</v>
      </c>
      <c r="G341" s="17" t="s">
        <v>47</v>
      </c>
      <c r="H341" s="19"/>
    </row>
    <row r="342" ht="22.5" hidden="1" customHeight="1">
      <c r="A342" s="4" t="s">
        <v>30</v>
      </c>
      <c r="B342" s="4">
        <v>2024.0</v>
      </c>
      <c r="C342" s="4" t="s">
        <v>87</v>
      </c>
      <c r="D342" s="4" t="s">
        <v>527</v>
      </c>
      <c r="E342" s="4" t="s">
        <v>8</v>
      </c>
      <c r="F342" s="6" t="str">
        <f>IFERROR(VLOOKUP(G342, 'Padronização'!A:C, 3, FALSE), "")</f>
        <v>Emergência em saúde com foco operacional / Operação hospitalar</v>
      </c>
      <c r="G342" s="17" t="s">
        <v>38</v>
      </c>
      <c r="H342" s="19"/>
    </row>
    <row r="343" ht="22.5" customHeight="1">
      <c r="A343" s="4" t="s">
        <v>30</v>
      </c>
      <c r="B343" s="4">
        <v>2024.0</v>
      </c>
      <c r="C343" s="4" t="s">
        <v>33</v>
      </c>
      <c r="D343" s="4" t="s">
        <v>528</v>
      </c>
      <c r="E343" s="4" t="s">
        <v>37</v>
      </c>
      <c r="F343" s="6" t="str">
        <f>IFERROR(VLOOKUP(G343, 'Padronização'!A:C, 3, FALSE), "")</f>
        <v>ABM/MAS focado em comportamento humano cognitivo</v>
      </c>
      <c r="G343" s="17" t="s">
        <v>47</v>
      </c>
      <c r="H343" s="19"/>
    </row>
    <row r="344" ht="22.5" hidden="1" customHeight="1">
      <c r="A344" s="4" t="s">
        <v>30</v>
      </c>
      <c r="B344" s="4">
        <v>2024.0</v>
      </c>
      <c r="C344" s="4" t="s">
        <v>87</v>
      </c>
      <c r="D344" s="4" t="s">
        <v>529</v>
      </c>
      <c r="E344" s="4" t="s">
        <v>8</v>
      </c>
      <c r="F344" s="6" t="str">
        <f>IFERROR(VLOOKUP(G344, 'Padronização'!A:C, 3, FALSE), "")</f>
        <v>Transporte / tráfego em operação normal</v>
      </c>
      <c r="G344" s="17" t="s">
        <v>19</v>
      </c>
      <c r="H344" s="19"/>
    </row>
    <row r="345" ht="22.5" hidden="1" customHeight="1">
      <c r="A345" s="4" t="s">
        <v>30</v>
      </c>
      <c r="B345" s="4">
        <v>2024.0</v>
      </c>
      <c r="C345" s="4" t="s">
        <v>33</v>
      </c>
      <c r="D345" s="4" t="s">
        <v>531</v>
      </c>
      <c r="E345" s="4" t="s">
        <v>8</v>
      </c>
      <c r="F345" s="6" t="str">
        <f>IFERROR(VLOOKUP(G345, 'Padronização'!A:C, 3, FALSE), "")</f>
        <v>Não aborda cenário de crise ou desastre</v>
      </c>
      <c r="G345" s="17" t="s">
        <v>31</v>
      </c>
      <c r="H345" s="19"/>
    </row>
    <row r="346" ht="22.5" hidden="1" customHeight="1">
      <c r="A346" s="4" t="s">
        <v>30</v>
      </c>
      <c r="B346" s="4">
        <v>2024.0</v>
      </c>
      <c r="C346" s="4" t="s">
        <v>33</v>
      </c>
      <c r="D346" s="4" t="s">
        <v>533</v>
      </c>
      <c r="E346" s="4" t="s">
        <v>41</v>
      </c>
      <c r="F346" s="6" t="str">
        <f>IFERROR(VLOOKUP(G346, 'Padronização'!A:C, 3, FALSE), "")</f>
        <v>Emergência sem evacuação clara</v>
      </c>
      <c r="G346" s="17" t="s">
        <v>43</v>
      </c>
      <c r="H346" s="19"/>
    </row>
    <row r="347" ht="22.5" hidden="1" customHeight="1">
      <c r="A347" s="4" t="s">
        <v>30</v>
      </c>
      <c r="B347" s="4">
        <v>2024.0</v>
      </c>
      <c r="C347" s="4" t="s">
        <v>87</v>
      </c>
      <c r="D347" s="4" t="s">
        <v>534</v>
      </c>
      <c r="E347" s="4" t="s">
        <v>8</v>
      </c>
      <c r="F347" s="6" t="str">
        <f>IFERROR(VLOOKUP(G347, 'Padronização'!A:C, 3, FALSE), "")</f>
        <v>Emergência em saúde com foco operacional / Operação hospitalar</v>
      </c>
      <c r="G347" s="17" t="s">
        <v>38</v>
      </c>
      <c r="H347" s="19"/>
    </row>
    <row r="348" ht="22.5" hidden="1" customHeight="1">
      <c r="A348" s="4" t="s">
        <v>30</v>
      </c>
      <c r="B348" s="4">
        <v>2024.0</v>
      </c>
      <c r="C348" s="4" t="s">
        <v>87</v>
      </c>
      <c r="D348" s="4" t="s">
        <v>535</v>
      </c>
      <c r="E348" s="4" t="s">
        <v>8</v>
      </c>
      <c r="F348" s="6" t="str">
        <f>IFERROR(VLOOKUP(G348, 'Padronização'!A:C, 3, FALSE), "")</f>
        <v>Não aborda cenário de crise ou desastre</v>
      </c>
      <c r="G348" s="17" t="s">
        <v>31</v>
      </c>
      <c r="H348" s="19"/>
    </row>
    <row r="349" ht="22.5" hidden="1" customHeight="1">
      <c r="A349" s="4" t="s">
        <v>30</v>
      </c>
      <c r="B349" s="4">
        <v>2024.0</v>
      </c>
      <c r="C349" s="4" t="s">
        <v>87</v>
      </c>
      <c r="D349" s="4" t="s">
        <v>537</v>
      </c>
      <c r="E349" s="4" t="s">
        <v>8</v>
      </c>
      <c r="F349" s="6" t="str">
        <f>IFERROR(VLOOKUP(G349, 'Padronização'!A:C, 3, FALSE), "")</f>
        <v>Não aborda cenário de crise ou desastre</v>
      </c>
      <c r="G349" s="17" t="s">
        <v>31</v>
      </c>
      <c r="H349" s="19"/>
    </row>
    <row r="350" ht="22.5" hidden="1" customHeight="1">
      <c r="A350" s="4" t="s">
        <v>30</v>
      </c>
      <c r="B350" s="4">
        <v>2024.0</v>
      </c>
      <c r="C350" s="4" t="s">
        <v>87</v>
      </c>
      <c r="D350" s="4" t="s">
        <v>538</v>
      </c>
      <c r="E350" s="4" t="s">
        <v>8</v>
      </c>
      <c r="F350" s="6" t="str">
        <f>IFERROR(VLOOKUP(G350, 'Padronização'!A:C, 3, FALSE), "")</f>
        <v>Não aborda cenário de crise ou desastre</v>
      </c>
      <c r="G350" s="17" t="s">
        <v>31</v>
      </c>
      <c r="H350" s="19"/>
    </row>
    <row r="351" ht="22.5" hidden="1" customHeight="1">
      <c r="A351" s="4" t="s">
        <v>30</v>
      </c>
      <c r="B351" s="4">
        <v>2024.0</v>
      </c>
      <c r="C351" s="4" t="s">
        <v>87</v>
      </c>
      <c r="D351" s="4" t="s">
        <v>540</v>
      </c>
      <c r="E351" s="4" t="s">
        <v>8</v>
      </c>
      <c r="F351" s="6" t="str">
        <f>IFERROR(VLOOKUP(G351, 'Padronização'!A:C, 3, FALSE), "")</f>
        <v>Algoritmo técnico / MAS sem humano / otimização </v>
      </c>
      <c r="G351" s="20" t="s">
        <v>15</v>
      </c>
      <c r="H351" s="19"/>
    </row>
    <row r="352" ht="22.5" hidden="1" customHeight="1">
      <c r="A352" s="4" t="s">
        <v>30</v>
      </c>
      <c r="B352" s="4">
        <v>2024.0</v>
      </c>
      <c r="C352" s="4" t="s">
        <v>87</v>
      </c>
      <c r="D352" s="4" t="s">
        <v>542</v>
      </c>
      <c r="E352" s="4" t="s">
        <v>8</v>
      </c>
      <c r="F352" s="6" t="str">
        <f>IFERROR(VLOOKUP(G352, 'Padronização'!A:C, 3, FALSE), "")</f>
        <v>Telecomunicações emergenciais / alocação de rede; foco técnico</v>
      </c>
      <c r="G352" s="17" t="s">
        <v>5</v>
      </c>
      <c r="H352" s="19"/>
    </row>
    <row r="353" ht="22.5" hidden="1" customHeight="1">
      <c r="A353" s="4" t="s">
        <v>30</v>
      </c>
      <c r="B353" s="4">
        <v>2024.0</v>
      </c>
      <c r="C353" s="4" t="s">
        <v>33</v>
      </c>
      <c r="D353" s="4" t="s">
        <v>543</v>
      </c>
      <c r="E353" s="4" t="s">
        <v>8</v>
      </c>
      <c r="F353" s="6" t="str">
        <f>IFERROR(VLOOKUP(G353, 'Padronização'!A:C, 3, FALSE), "")</f>
        <v>Não aborda cenário de crise ou desastre</v>
      </c>
      <c r="G353" s="17" t="s">
        <v>31</v>
      </c>
      <c r="H353" s="19"/>
    </row>
    <row r="354" ht="22.5" hidden="1" customHeight="1">
      <c r="A354" s="4" t="s">
        <v>30</v>
      </c>
      <c r="B354" s="4">
        <v>2024.0</v>
      </c>
      <c r="C354" s="4" t="s">
        <v>87</v>
      </c>
      <c r="D354" s="4" t="s">
        <v>545</v>
      </c>
      <c r="E354" s="4" t="s">
        <v>8</v>
      </c>
      <c r="F354" s="6" t="str">
        <f>IFERROR(VLOOKUP(G354, 'Padronização'!A:C, 3, FALSE), "")</f>
        <v>Não aborda cenário de crise ou desastre</v>
      </c>
      <c r="G354" s="17" t="s">
        <v>31</v>
      </c>
      <c r="H354" s="19"/>
    </row>
    <row r="355" ht="22.5" hidden="1" customHeight="1">
      <c r="A355" s="4" t="s">
        <v>30</v>
      </c>
      <c r="B355" s="4">
        <v>2024.0</v>
      </c>
      <c r="C355" s="4" t="s">
        <v>33</v>
      </c>
      <c r="D355" s="4" t="s">
        <v>546</v>
      </c>
      <c r="E355" s="4" t="s">
        <v>41</v>
      </c>
      <c r="F355" s="6" t="str">
        <f>IFERROR(VLOOKUP(G355, 'Padronização'!A:C, 3, FALSE), "")</f>
        <v>Emergência sem evacuação clara</v>
      </c>
      <c r="G355" s="17" t="s">
        <v>43</v>
      </c>
      <c r="H355" s="19"/>
    </row>
    <row r="356" ht="22.5" hidden="1" customHeight="1">
      <c r="A356" s="4" t="s">
        <v>30</v>
      </c>
      <c r="B356" s="4">
        <v>2024.0</v>
      </c>
      <c r="C356" s="4" t="s">
        <v>87</v>
      </c>
      <c r="D356" s="4" t="s">
        <v>548</v>
      </c>
      <c r="E356" s="4" t="s">
        <v>8</v>
      </c>
      <c r="F356" s="6" t="str">
        <f>IFERROR(VLOOKUP(G356, 'Padronização'!A:C, 3, FALSE), "")</f>
        <v>Não aborda cenário de crise ou desastre</v>
      </c>
      <c r="G356" s="17" t="s">
        <v>31</v>
      </c>
      <c r="H356" s="19"/>
    </row>
    <row r="357" ht="22.5" hidden="1" customHeight="1">
      <c r="A357" s="4" t="s">
        <v>30</v>
      </c>
      <c r="B357" s="4">
        <v>2024.0</v>
      </c>
      <c r="C357" s="4" t="s">
        <v>87</v>
      </c>
      <c r="D357" s="4" t="s">
        <v>549</v>
      </c>
      <c r="E357" s="4" t="s">
        <v>8</v>
      </c>
      <c r="F357" s="6" t="str">
        <f>IFERROR(VLOOKUP(G357, 'Padronização'!A:C, 3, FALSE), "")</f>
        <v>Telecomunicações emergenciais / alocação de rede; foco técnico</v>
      </c>
      <c r="G357" s="17" t="s">
        <v>5</v>
      </c>
      <c r="H357" s="19"/>
    </row>
    <row r="358" ht="22.5" hidden="1" customHeight="1">
      <c r="A358" s="4" t="s">
        <v>30</v>
      </c>
      <c r="B358" s="4">
        <v>2024.0</v>
      </c>
      <c r="C358" s="4" t="s">
        <v>87</v>
      </c>
      <c r="D358" s="4" t="s">
        <v>550</v>
      </c>
      <c r="E358" s="4" t="s">
        <v>8</v>
      </c>
      <c r="F358" s="6" t="str">
        <f>IFERROR(VLOOKUP(G358, 'Padronização'!A:C, 3, FALSE), "")</f>
        <v>Não aborda cenário de crise ou desastre</v>
      </c>
      <c r="G358" s="17" t="s">
        <v>31</v>
      </c>
      <c r="H358" s="19"/>
    </row>
    <row r="359" ht="22.5" hidden="1" customHeight="1">
      <c r="A359" s="4" t="s">
        <v>30</v>
      </c>
      <c r="B359" s="4">
        <v>2024.0</v>
      </c>
      <c r="C359" s="4" t="s">
        <v>87</v>
      </c>
      <c r="D359" s="4" t="s">
        <v>552</v>
      </c>
      <c r="E359" s="4" t="s">
        <v>8</v>
      </c>
      <c r="F359" s="6" t="str">
        <f>IFERROR(VLOOKUP(G359, 'Padronização'!A:C, 3, FALSE), "")</f>
        <v>Telecomunicações emergenciais / alocação de rede; foco técnico</v>
      </c>
      <c r="G359" s="17" t="s">
        <v>5</v>
      </c>
      <c r="H359" s="19"/>
    </row>
    <row r="360" ht="22.5" hidden="1" customHeight="1">
      <c r="A360" s="4" t="s">
        <v>30</v>
      </c>
      <c r="B360" s="4">
        <v>2024.0</v>
      </c>
      <c r="C360" s="4" t="s">
        <v>33</v>
      </c>
      <c r="D360" s="4" t="s">
        <v>553</v>
      </c>
      <c r="E360" s="4" t="s">
        <v>8</v>
      </c>
      <c r="F360" s="6" t="str">
        <f>IFERROR(VLOOKUP(G360, 'Padronização'!A:C, 3, FALSE), "")</f>
        <v>Telecomunicações emergenciais / alocação de rede; foco técnico</v>
      </c>
      <c r="G360" s="17" t="s">
        <v>5</v>
      </c>
      <c r="H360" s="19"/>
    </row>
    <row r="361" ht="22.5" hidden="1" customHeight="1">
      <c r="A361" s="4" t="s">
        <v>30</v>
      </c>
      <c r="B361" s="4">
        <v>2024.0</v>
      </c>
      <c r="C361" s="4" t="s">
        <v>87</v>
      </c>
      <c r="D361" s="4" t="s">
        <v>555</v>
      </c>
      <c r="E361" s="4" t="s">
        <v>8</v>
      </c>
      <c r="F361" s="6" t="str">
        <f>IFERROR(VLOOKUP(G361, 'Padronização'!A:C, 3, FALSE), "")</f>
        <v>Artigo metodológico genérico (framework, design, how-to)</v>
      </c>
      <c r="G361" s="17" t="s">
        <v>27</v>
      </c>
      <c r="H361" s="19"/>
    </row>
    <row r="362" ht="22.5" hidden="1" customHeight="1">
      <c r="A362" s="4" t="s">
        <v>30</v>
      </c>
      <c r="B362" s="4">
        <v>2024.0</v>
      </c>
      <c r="C362" s="4" t="s">
        <v>87</v>
      </c>
      <c r="D362" s="4" t="s">
        <v>556</v>
      </c>
      <c r="E362" s="4" t="s">
        <v>8</v>
      </c>
      <c r="F362" s="6" t="str">
        <f>IFERROR(VLOOKUP(G362, 'Padronização'!A:C, 3, FALSE), "")</f>
        <v>Telecomunicações emergenciais / alocação de rede; foco técnico</v>
      </c>
      <c r="G362" s="17" t="s">
        <v>5</v>
      </c>
      <c r="H362" s="19"/>
    </row>
    <row r="363" ht="22.5" hidden="1" customHeight="1">
      <c r="A363" s="4" t="s">
        <v>30</v>
      </c>
      <c r="B363" s="4">
        <v>2024.0</v>
      </c>
      <c r="C363" s="4" t="s">
        <v>87</v>
      </c>
      <c r="D363" s="4" t="s">
        <v>557</v>
      </c>
      <c r="E363" s="4" t="s">
        <v>8</v>
      </c>
      <c r="F363" s="6" t="str">
        <f>IFERROR(VLOOKUP(G363, 'Padronização'!A:C, 3, FALSE), "")</f>
        <v>Telecomunicações emergenciais / alocação de rede; foco técnico</v>
      </c>
      <c r="G363" s="17" t="s">
        <v>5</v>
      </c>
      <c r="H363" s="19"/>
    </row>
    <row r="364" ht="22.5" hidden="1" customHeight="1">
      <c r="A364" s="4" t="s">
        <v>30</v>
      </c>
      <c r="B364" s="4">
        <v>2024.0</v>
      </c>
      <c r="C364" s="4" t="s">
        <v>87</v>
      </c>
      <c r="D364" s="4" t="s">
        <v>559</v>
      </c>
      <c r="E364" s="4" t="s">
        <v>8</v>
      </c>
      <c r="F364" s="6" t="str">
        <f>IFERROR(VLOOKUP(G364, 'Padronização'!A:C, 3, FALSE), "")</f>
        <v>Supply chain / impacto econômico indireto</v>
      </c>
      <c r="G364" s="17" t="s">
        <v>34</v>
      </c>
      <c r="H364" s="19"/>
    </row>
    <row r="365" ht="22.5" hidden="1" customHeight="1">
      <c r="A365" s="4" t="s">
        <v>30</v>
      </c>
      <c r="B365" s="4">
        <v>2024.0</v>
      </c>
      <c r="C365" s="4" t="s">
        <v>33</v>
      </c>
      <c r="D365" s="4" t="s">
        <v>560</v>
      </c>
      <c r="E365" s="4" t="s">
        <v>41</v>
      </c>
      <c r="F365" s="6" t="str">
        <f>IFERROR(VLOOKUP(G365, 'Padronização'!A:C, 3, FALSE), "")</f>
        <v>Emergência sem evacuação clara</v>
      </c>
      <c r="G365" s="17" t="s">
        <v>43</v>
      </c>
      <c r="H365" s="19"/>
    </row>
    <row r="366" ht="22.5" hidden="1" customHeight="1">
      <c r="A366" s="4" t="s">
        <v>30</v>
      </c>
      <c r="B366" s="4">
        <v>2024.0</v>
      </c>
      <c r="C366" s="4" t="s">
        <v>33</v>
      </c>
      <c r="D366" s="4" t="s">
        <v>562</v>
      </c>
      <c r="E366" s="4" t="s">
        <v>8</v>
      </c>
      <c r="F366" s="6" t="str">
        <f>IFERROR(VLOOKUP(G366, 'Padronização'!A:C, 3, FALSE), "")</f>
        <v>Transporte / tráfego em operação normal</v>
      </c>
      <c r="G366" s="17" t="s">
        <v>19</v>
      </c>
      <c r="H366" s="19"/>
    </row>
    <row r="367" ht="22.5" hidden="1" customHeight="1">
      <c r="A367" s="4" t="s">
        <v>30</v>
      </c>
      <c r="B367" s="4">
        <v>2024.0</v>
      </c>
      <c r="C367" s="4" t="s">
        <v>87</v>
      </c>
      <c r="D367" s="4" t="s">
        <v>563</v>
      </c>
      <c r="E367" s="4" t="s">
        <v>8</v>
      </c>
      <c r="F367" s="6" t="str">
        <f>IFERROR(VLOOKUP(G367, 'Padronização'!A:C, 3, FALSE), "")</f>
        <v>Transporte / tráfego em operação normal</v>
      </c>
      <c r="G367" s="17" t="s">
        <v>19</v>
      </c>
      <c r="H367" s="19"/>
    </row>
    <row r="368" ht="22.5" hidden="1" customHeight="1">
      <c r="A368" s="4" t="s">
        <v>30</v>
      </c>
      <c r="B368" s="4">
        <v>2024.0</v>
      </c>
      <c r="C368" s="4" t="s">
        <v>33</v>
      </c>
      <c r="D368" s="4" t="s">
        <v>564</v>
      </c>
      <c r="E368" s="4" t="s">
        <v>41</v>
      </c>
      <c r="F368" s="6" t="str">
        <f>IFERROR(VLOOKUP(G368, 'Padronização'!A:C, 3, FALSE), "")</f>
        <v>Crise explícita com foco em infraestrutura</v>
      </c>
      <c r="G368" s="17" t="s">
        <v>40</v>
      </c>
      <c r="H368" s="19"/>
    </row>
    <row r="369" ht="22.5" hidden="1" customHeight="1">
      <c r="A369" s="4" t="s">
        <v>30</v>
      </c>
      <c r="B369" s="4">
        <v>2024.0</v>
      </c>
      <c r="C369" s="4" t="s">
        <v>87</v>
      </c>
      <c r="D369" s="4" t="s">
        <v>566</v>
      </c>
      <c r="E369" s="4" t="s">
        <v>8</v>
      </c>
      <c r="F369" s="6" t="str">
        <f>IFERROR(VLOOKUP(G369, 'Padronização'!A:C, 3, FALSE), "")</f>
        <v>Transporte / tráfego em operação normal</v>
      </c>
      <c r="G369" s="17" t="s">
        <v>19</v>
      </c>
      <c r="H369" s="19"/>
    </row>
    <row r="370" ht="22.5" hidden="1" customHeight="1">
      <c r="A370" s="4" t="s">
        <v>30</v>
      </c>
      <c r="B370" s="4">
        <v>2024.0</v>
      </c>
      <c r="C370" s="4" t="s">
        <v>87</v>
      </c>
      <c r="D370" s="4" t="s">
        <v>567</v>
      </c>
      <c r="E370" s="4" t="s">
        <v>8</v>
      </c>
      <c r="F370" s="6" t="str">
        <f>IFERROR(VLOOKUP(G370, 'Padronização'!A:C, 3, FALSE), "")</f>
        <v>Não aborda cenário de crise ou desastre</v>
      </c>
      <c r="G370" s="17" t="s">
        <v>31</v>
      </c>
      <c r="H370" s="19"/>
    </row>
    <row r="371" ht="22.5" hidden="1" customHeight="1">
      <c r="A371" s="4" t="s">
        <v>30</v>
      </c>
      <c r="B371" s="4">
        <v>2024.0</v>
      </c>
      <c r="C371" s="4" t="s">
        <v>87</v>
      </c>
      <c r="D371" s="4" t="s">
        <v>568</v>
      </c>
      <c r="E371" s="4" t="s">
        <v>8</v>
      </c>
      <c r="F371" s="6" t="str">
        <f>IFERROR(VLOOKUP(G371, 'Padronização'!A:C, 3, FALSE), "")</f>
        <v>Não aborda cenário de crise ou desastre</v>
      </c>
      <c r="G371" s="17" t="s">
        <v>31</v>
      </c>
      <c r="H371" s="19"/>
    </row>
    <row r="372" ht="22.5" hidden="1" customHeight="1">
      <c r="A372" s="4" t="s">
        <v>30</v>
      </c>
      <c r="B372" s="4">
        <v>2024.0</v>
      </c>
      <c r="C372" s="4" t="s">
        <v>33</v>
      </c>
      <c r="D372" s="4" t="s">
        <v>569</v>
      </c>
      <c r="E372" s="4" t="s">
        <v>8</v>
      </c>
      <c r="F372" s="6" t="str">
        <f>IFERROR(VLOOKUP(G372, 'Padronização'!A:C, 3, FALSE), "")</f>
        <v>Não aborda cenário de crise ou desastre</v>
      </c>
      <c r="G372" s="17" t="s">
        <v>31</v>
      </c>
      <c r="H372" s="19"/>
    </row>
    <row r="373" ht="22.5" hidden="1" customHeight="1">
      <c r="A373" s="4" t="s">
        <v>30</v>
      </c>
      <c r="B373" s="4">
        <v>2024.0</v>
      </c>
      <c r="C373" s="4" t="s">
        <v>87</v>
      </c>
      <c r="D373" s="4" t="s">
        <v>570</v>
      </c>
      <c r="E373" s="4" t="s">
        <v>8</v>
      </c>
      <c r="F373" s="6" t="str">
        <f>IFERROR(VLOOKUP(G373, 'Padronização'!A:C, 3, FALSE), "")</f>
        <v>Energia, grid, V2G; crise tratada como operação técnica</v>
      </c>
      <c r="G373" s="20" t="s">
        <v>12</v>
      </c>
      <c r="H373" s="30" t="s">
        <v>302</v>
      </c>
    </row>
    <row r="374" ht="22.5" hidden="1" customHeight="1">
      <c r="A374" s="4" t="s">
        <v>30</v>
      </c>
      <c r="B374" s="4">
        <v>2024.0</v>
      </c>
      <c r="C374" s="4" t="s">
        <v>87</v>
      </c>
      <c r="D374" s="4" t="s">
        <v>571</v>
      </c>
      <c r="E374" s="4" t="s">
        <v>8</v>
      </c>
      <c r="F374" s="6" t="str">
        <f>IFERROR(VLOOKUP(G374, 'Padronização'!A:C, 3, FALSE), "")</f>
        <v>Não aborda cenário de crise ou desastre</v>
      </c>
      <c r="G374" s="17" t="s">
        <v>31</v>
      </c>
      <c r="H374" s="19"/>
    </row>
    <row r="375" ht="22.5" hidden="1" customHeight="1">
      <c r="A375" s="4" t="s">
        <v>30</v>
      </c>
      <c r="B375" s="4">
        <v>2024.0</v>
      </c>
      <c r="C375" s="4" t="s">
        <v>87</v>
      </c>
      <c r="D375" s="4" t="s">
        <v>572</v>
      </c>
      <c r="E375" s="4" t="s">
        <v>8</v>
      </c>
      <c r="F375" s="6" t="str">
        <f>IFERROR(VLOOKUP(G375, 'Padronização'!A:C, 3, FALSE), "")</f>
        <v>Não aborda cenário de crise ou desastre</v>
      </c>
      <c r="G375" s="17" t="s">
        <v>31</v>
      </c>
      <c r="H375" s="19"/>
    </row>
    <row r="376" ht="22.5" hidden="1" customHeight="1">
      <c r="A376" s="4" t="s">
        <v>30</v>
      </c>
      <c r="B376" s="4">
        <v>2024.0</v>
      </c>
      <c r="C376" s="4" t="s">
        <v>33</v>
      </c>
      <c r="D376" s="4" t="s">
        <v>574</v>
      </c>
      <c r="E376" s="4" t="s">
        <v>8</v>
      </c>
      <c r="F376" s="6" t="str">
        <f>IFERROR(VLOOKUP(G376, 'Padronização'!A:C, 3, FALSE), "")</f>
        <v>Transporte / tráfego em operação normal</v>
      </c>
      <c r="G376" s="17" t="s">
        <v>19</v>
      </c>
      <c r="H376" s="19"/>
    </row>
    <row r="377" ht="22.5" hidden="1" customHeight="1">
      <c r="A377" s="4" t="s">
        <v>30</v>
      </c>
      <c r="B377" s="4">
        <v>2024.0</v>
      </c>
      <c r="C377" s="4" t="s">
        <v>87</v>
      </c>
      <c r="D377" s="4" t="s">
        <v>575</v>
      </c>
      <c r="E377" s="4" t="s">
        <v>8</v>
      </c>
      <c r="F377" s="6" t="str">
        <f>IFERROR(VLOOKUP(G377, 'Padronização'!A:C, 3, FALSE), "")</f>
        <v>Não aborda cenário de crise ou desastre</v>
      </c>
      <c r="G377" s="17" t="s">
        <v>31</v>
      </c>
      <c r="H377" s="19"/>
    </row>
    <row r="378" ht="22.5" hidden="1" customHeight="1">
      <c r="A378" s="4" t="s">
        <v>30</v>
      </c>
      <c r="B378" s="4">
        <v>2024.0</v>
      </c>
      <c r="C378" s="4" t="s">
        <v>87</v>
      </c>
      <c r="D378" s="4" t="s">
        <v>577</v>
      </c>
      <c r="E378" s="4" t="s">
        <v>8</v>
      </c>
      <c r="F378" s="6" t="str">
        <f>IFERROR(VLOOKUP(G378, 'Padronização'!A:C, 3, FALSE), "")</f>
        <v>Telecomunicações emergenciais / alocação de rede; foco técnico</v>
      </c>
      <c r="G378" s="17" t="s">
        <v>5</v>
      </c>
      <c r="H378" s="19"/>
    </row>
    <row r="379" ht="22.5" hidden="1" customHeight="1">
      <c r="A379" s="4" t="s">
        <v>30</v>
      </c>
      <c r="B379" s="4">
        <v>2024.0</v>
      </c>
      <c r="C379" s="4" t="s">
        <v>33</v>
      </c>
      <c r="D379" s="4" t="s">
        <v>578</v>
      </c>
      <c r="E379" s="4" t="s">
        <v>8</v>
      </c>
      <c r="F379" s="6" t="str">
        <f>IFERROR(VLOOKUP(G379, 'Padronização'!A:C, 3, FALSE), "")</f>
        <v>Não aborda cenário de crise ou desastre</v>
      </c>
      <c r="G379" s="17" t="s">
        <v>31</v>
      </c>
      <c r="H379" s="19"/>
    </row>
    <row r="380" ht="22.5" hidden="1" customHeight="1">
      <c r="A380" s="4" t="s">
        <v>30</v>
      </c>
      <c r="B380" s="4">
        <v>2024.0</v>
      </c>
      <c r="C380" s="4" t="s">
        <v>87</v>
      </c>
      <c r="D380" s="4" t="s">
        <v>579</v>
      </c>
      <c r="E380" s="4" t="s">
        <v>41</v>
      </c>
      <c r="F380" s="6" t="str">
        <f>IFERROR(VLOOKUP(G380, 'Padronização'!A:C, 3, FALSE), "")</f>
        <v>Emergência sem evacuação clara</v>
      </c>
      <c r="G380" s="17" t="s">
        <v>43</v>
      </c>
      <c r="H380" s="19"/>
    </row>
    <row r="381" ht="22.5" hidden="1" customHeight="1">
      <c r="A381" s="4" t="s">
        <v>30</v>
      </c>
      <c r="B381" s="4">
        <v>2024.0</v>
      </c>
      <c r="C381" s="4" t="s">
        <v>87</v>
      </c>
      <c r="D381" s="4" t="s">
        <v>581</v>
      </c>
      <c r="E381" s="4" t="s">
        <v>8</v>
      </c>
      <c r="F381" s="6" t="str">
        <f>IFERROR(VLOOKUP(G381, 'Padronização'!A:C, 3, FALSE), "")</f>
        <v>Não aborda cenário de crise ou desastre</v>
      </c>
      <c r="G381" s="17" t="s">
        <v>31</v>
      </c>
      <c r="H381" s="19"/>
    </row>
    <row r="382" ht="22.5" hidden="1" customHeight="1">
      <c r="A382" s="4" t="s">
        <v>30</v>
      </c>
      <c r="B382" s="4">
        <v>2024.0</v>
      </c>
      <c r="C382" s="4" t="s">
        <v>87</v>
      </c>
      <c r="D382" s="4" t="s">
        <v>582</v>
      </c>
      <c r="E382" s="4" t="s">
        <v>8</v>
      </c>
      <c r="F382" s="6" t="str">
        <f>IFERROR(VLOOKUP(G382, 'Padronização'!A:C, 3, FALSE), "")</f>
        <v>Não aborda cenário de crise ou desastre</v>
      </c>
      <c r="G382" s="17" t="s">
        <v>31</v>
      </c>
      <c r="H382" s="19"/>
    </row>
    <row r="383" ht="22.5" hidden="1" customHeight="1">
      <c r="A383" s="4" t="s">
        <v>30</v>
      </c>
      <c r="B383" s="4">
        <v>2024.0</v>
      </c>
      <c r="C383" s="4" t="s">
        <v>33</v>
      </c>
      <c r="D383" s="4" t="s">
        <v>584</v>
      </c>
      <c r="E383" s="4" t="s">
        <v>8</v>
      </c>
      <c r="F383" s="6" t="str">
        <f>IFERROR(VLOOKUP(G383, 'Padronização'!A:C, 3, FALSE), "")</f>
        <v>Não aborda cenário de crise ou desastre</v>
      </c>
      <c r="G383" s="17" t="s">
        <v>31</v>
      </c>
      <c r="H383" s="19"/>
    </row>
    <row r="384" ht="22.5" hidden="1" customHeight="1">
      <c r="A384" s="4" t="s">
        <v>30</v>
      </c>
      <c r="B384" s="4">
        <v>2024.0</v>
      </c>
      <c r="C384" s="4" t="s">
        <v>33</v>
      </c>
      <c r="D384" s="4" t="s">
        <v>585</v>
      </c>
      <c r="E384" s="4" t="s">
        <v>8</v>
      </c>
      <c r="F384" s="6" t="str">
        <f>IFERROR(VLOOKUP(G384, 'Padronização'!A:C, 3, FALSE), "")</f>
        <v>Não aborda cenário de crise ou desastre</v>
      </c>
      <c r="G384" s="17" t="s">
        <v>31</v>
      </c>
      <c r="H384" s="19"/>
    </row>
    <row r="385" ht="22.5" hidden="1" customHeight="1">
      <c r="A385" s="4" t="s">
        <v>30</v>
      </c>
      <c r="B385" s="4">
        <v>2024.0</v>
      </c>
      <c r="C385" s="4" t="s">
        <v>33</v>
      </c>
      <c r="D385" s="4" t="s">
        <v>587</v>
      </c>
      <c r="E385" s="4" t="s">
        <v>8</v>
      </c>
      <c r="F385" s="6" t="str">
        <f>IFERROR(VLOOKUP(G385, 'Padronização'!A:C, 3, FALSE), "")</f>
        <v>Não aborda cenário de crise ou desastre</v>
      </c>
      <c r="G385" s="17" t="s">
        <v>31</v>
      </c>
      <c r="H385" s="19"/>
    </row>
    <row r="386" ht="22.5" hidden="1" customHeight="1">
      <c r="A386" s="4" t="s">
        <v>30</v>
      </c>
      <c r="B386" s="4">
        <v>2024.0</v>
      </c>
      <c r="C386" s="4" t="s">
        <v>33</v>
      </c>
      <c r="D386" s="4" t="s">
        <v>588</v>
      </c>
      <c r="E386" s="4" t="s">
        <v>41</v>
      </c>
      <c r="F386" s="6" t="str">
        <f>IFERROR(VLOOKUP(G386, 'Padronização'!A:C, 3, FALSE), "")</f>
        <v>Emergência sem evacuação clara</v>
      </c>
      <c r="G386" s="17" t="s">
        <v>43</v>
      </c>
      <c r="H386" s="19"/>
    </row>
    <row r="387" ht="22.5" hidden="1" customHeight="1">
      <c r="A387" s="4" t="s">
        <v>30</v>
      </c>
      <c r="B387" s="4">
        <v>2024.0</v>
      </c>
      <c r="C387" s="4" t="s">
        <v>33</v>
      </c>
      <c r="D387" s="4" t="s">
        <v>590</v>
      </c>
      <c r="E387" s="4" t="s">
        <v>8</v>
      </c>
      <c r="F387" s="6" t="str">
        <f>IFERROR(VLOOKUP(G387, 'Padronização'!A:C, 3, FALSE), "")</f>
        <v>Telecomunicações emergenciais / alocação de rede; foco técnico</v>
      </c>
      <c r="G387" s="17" t="s">
        <v>5</v>
      </c>
      <c r="H387" s="19"/>
    </row>
    <row r="388" ht="22.5" hidden="1" customHeight="1">
      <c r="A388" s="4" t="s">
        <v>30</v>
      </c>
      <c r="B388" s="4">
        <v>2024.0</v>
      </c>
      <c r="C388" s="4" t="s">
        <v>87</v>
      </c>
      <c r="D388" s="4" t="s">
        <v>591</v>
      </c>
      <c r="E388" s="4" t="s">
        <v>8</v>
      </c>
      <c r="F388" s="6" t="str">
        <f>IFERROR(VLOOKUP(G388, 'Padronização'!A:C, 3, FALSE), "")</f>
        <v>Transporte / tráfego em operação normal</v>
      </c>
      <c r="G388" s="17" t="s">
        <v>19</v>
      </c>
      <c r="H388" s="19"/>
    </row>
    <row r="389" ht="22.5" hidden="1" customHeight="1">
      <c r="A389" s="4" t="s">
        <v>30</v>
      </c>
      <c r="B389" s="4">
        <v>2024.0</v>
      </c>
      <c r="C389" s="4" t="s">
        <v>87</v>
      </c>
      <c r="D389" s="4" t="s">
        <v>592</v>
      </c>
      <c r="E389" s="4" t="s">
        <v>8</v>
      </c>
      <c r="F389" s="6" t="str">
        <f>IFERROR(VLOOKUP(G389, 'Padronização'!A:C, 3, FALSE), "")</f>
        <v>Não aborda cenário de crise ou desastre</v>
      </c>
      <c r="G389" s="17" t="s">
        <v>31</v>
      </c>
      <c r="H389" s="19"/>
    </row>
    <row r="390" ht="22.5" customHeight="1">
      <c r="A390" s="4" t="s">
        <v>30</v>
      </c>
      <c r="B390" s="4">
        <v>2024.0</v>
      </c>
      <c r="C390" s="4" t="s">
        <v>33</v>
      </c>
      <c r="D390" s="4" t="s">
        <v>413</v>
      </c>
      <c r="E390" s="4" t="s">
        <v>37</v>
      </c>
      <c r="F390" s="6" t="str">
        <f>IFERROR(VLOOKUP(G390, 'Padronização'!A:C, 3, FALSE), "")</f>
        <v>ABM/MAS focado em comportamento humano cognitivo</v>
      </c>
      <c r="G390" s="17" t="s">
        <v>47</v>
      </c>
      <c r="H390" s="19"/>
    </row>
    <row r="391" ht="22.5" hidden="1" customHeight="1">
      <c r="A391" s="4" t="s">
        <v>30</v>
      </c>
      <c r="B391" s="4">
        <v>2024.0</v>
      </c>
      <c r="C391" s="4" t="s">
        <v>33</v>
      </c>
      <c r="D391" s="4" t="s">
        <v>594</v>
      </c>
      <c r="E391" s="4" t="s">
        <v>8</v>
      </c>
      <c r="F391" s="6" t="str">
        <f>IFERROR(VLOOKUP(G391, 'Padronização'!A:C, 3, FALSE), "")</f>
        <v>Não aborda cenário de crise ou desastre</v>
      </c>
      <c r="G391" s="17" t="s">
        <v>31</v>
      </c>
      <c r="H391" s="19"/>
    </row>
    <row r="392" ht="22.5" hidden="1" customHeight="1">
      <c r="A392" s="4" t="s">
        <v>30</v>
      </c>
      <c r="B392" s="4">
        <v>2024.0</v>
      </c>
      <c r="C392" s="4" t="s">
        <v>87</v>
      </c>
      <c r="D392" s="4" t="s">
        <v>596</v>
      </c>
      <c r="E392" s="4" t="s">
        <v>8</v>
      </c>
      <c r="F392" s="6" t="str">
        <f>IFERROR(VLOOKUP(G392, 'Padronização'!A:C, 3, FALSE), "")</f>
        <v>Transporte / tráfego em operação normal</v>
      </c>
      <c r="G392" s="17" t="s">
        <v>19</v>
      </c>
      <c r="H392" s="19"/>
    </row>
    <row r="393" ht="22.5" hidden="1" customHeight="1">
      <c r="A393" s="4" t="s">
        <v>30</v>
      </c>
      <c r="B393" s="4">
        <v>2023.0</v>
      </c>
      <c r="C393" s="4" t="s">
        <v>87</v>
      </c>
      <c r="D393" s="4" t="s">
        <v>597</v>
      </c>
      <c r="E393" s="4" t="s">
        <v>8</v>
      </c>
      <c r="F393" s="6" t="str">
        <f>IFERROR(VLOOKUP(G393, 'Padronização'!A:C, 3, FALSE), "")</f>
        <v>Telecomunicações emergenciais / alocação de rede; foco técnico</v>
      </c>
      <c r="G393" s="17" t="s">
        <v>5</v>
      </c>
      <c r="H393" s="19"/>
    </row>
    <row r="394" ht="22.5" hidden="1" customHeight="1">
      <c r="A394" s="4" t="s">
        <v>30</v>
      </c>
      <c r="B394" s="4">
        <v>2023.0</v>
      </c>
      <c r="C394" s="4" t="s">
        <v>33</v>
      </c>
      <c r="D394" s="4" t="s">
        <v>599</v>
      </c>
      <c r="E394" s="4" t="s">
        <v>41</v>
      </c>
      <c r="F394" s="6" t="str">
        <f>IFERROR(VLOOKUP(G394, 'Padronização'!A:C, 3, FALSE), "")</f>
        <v>Emergência sem evacuação clara</v>
      </c>
      <c r="G394" s="17" t="s">
        <v>43</v>
      </c>
      <c r="H394" s="19"/>
    </row>
    <row r="395" ht="22.5" customHeight="1">
      <c r="A395" s="4" t="s">
        <v>30</v>
      </c>
      <c r="B395" s="4">
        <v>2023.0</v>
      </c>
      <c r="C395" s="4" t="s">
        <v>33</v>
      </c>
      <c r="D395" s="4" t="s">
        <v>600</v>
      </c>
      <c r="E395" s="4" t="s">
        <v>37</v>
      </c>
      <c r="F395" s="6" t="str">
        <f>IFERROR(VLOOKUP(G395, 'Padronização'!A:C, 3, FALSE), "")</f>
        <v>ABM/MAS aplicado à evacuação</v>
      </c>
      <c r="G395" s="17" t="s">
        <v>45</v>
      </c>
      <c r="H395" s="19"/>
    </row>
    <row r="396" ht="22.5" customHeight="1">
      <c r="A396" s="4" t="s">
        <v>30</v>
      </c>
      <c r="B396" s="4">
        <v>2023.0</v>
      </c>
      <c r="C396" s="4" t="s">
        <v>33</v>
      </c>
      <c r="D396" s="4" t="s">
        <v>419</v>
      </c>
      <c r="E396" s="4" t="s">
        <v>37</v>
      </c>
      <c r="F396" s="6" t="str">
        <f>IFERROR(VLOOKUP(G396, 'Padronização'!A:C, 3, FALSE), "")</f>
        <v>ABM/MAS aplicado à evacuação</v>
      </c>
      <c r="G396" s="17" t="s">
        <v>45</v>
      </c>
      <c r="H396" s="19"/>
    </row>
    <row r="397" ht="22.5" hidden="1" customHeight="1">
      <c r="A397" s="4" t="s">
        <v>30</v>
      </c>
      <c r="B397" s="4">
        <v>2023.0</v>
      </c>
      <c r="C397" s="4" t="s">
        <v>33</v>
      </c>
      <c r="D397" s="4" t="s">
        <v>601</v>
      </c>
      <c r="E397" s="4" t="s">
        <v>41</v>
      </c>
      <c r="F397" s="6" t="str">
        <f>IFERROR(VLOOKUP(G397, 'Padronização'!A:C, 3, FALSE), "")</f>
        <v>Emergência sem evacuação clara</v>
      </c>
      <c r="G397" s="17" t="s">
        <v>43</v>
      </c>
      <c r="H397" s="19"/>
    </row>
    <row r="398" ht="22.5" hidden="1" customHeight="1">
      <c r="A398" s="4" t="s">
        <v>30</v>
      </c>
      <c r="B398" s="4">
        <v>2023.0</v>
      </c>
      <c r="C398" s="4" t="s">
        <v>33</v>
      </c>
      <c r="D398" s="4" t="s">
        <v>603</v>
      </c>
      <c r="E398" s="4" t="s">
        <v>8</v>
      </c>
      <c r="F398" s="6" t="str">
        <f>IFERROR(VLOOKUP(G398, 'Padronização'!A:C, 3, FALSE), "")</f>
        <v>Não aborda cenário de crise ou desastre</v>
      </c>
      <c r="G398" s="17" t="s">
        <v>31</v>
      </c>
      <c r="H398" s="19"/>
    </row>
    <row r="399" ht="22.5" hidden="1" customHeight="1">
      <c r="A399" s="4" t="s">
        <v>30</v>
      </c>
      <c r="B399" s="4">
        <v>2023.0</v>
      </c>
      <c r="C399" s="4" t="s">
        <v>33</v>
      </c>
      <c r="D399" s="4" t="s">
        <v>604</v>
      </c>
      <c r="E399" s="4" t="s">
        <v>8</v>
      </c>
      <c r="F399" s="6" t="str">
        <f>IFERROR(VLOOKUP(G399, 'Padronização'!A:C, 3, FALSE), "")</f>
        <v>Telecomunicações emergenciais / alocação de rede; foco técnico</v>
      </c>
      <c r="G399" s="17" t="s">
        <v>5</v>
      </c>
      <c r="H399" s="19"/>
    </row>
    <row r="400" ht="22.5" hidden="1" customHeight="1">
      <c r="A400" s="4" t="s">
        <v>30</v>
      </c>
      <c r="B400" s="4">
        <v>2023.0</v>
      </c>
      <c r="C400" s="4" t="s">
        <v>33</v>
      </c>
      <c r="D400" s="4" t="s">
        <v>605</v>
      </c>
      <c r="E400" s="4" t="s">
        <v>8</v>
      </c>
      <c r="F400" s="6" t="str">
        <f>IFERROR(VLOOKUP(G400, 'Padronização'!A:C, 3, FALSE), "")</f>
        <v>Telecomunicações emergenciais / alocação de rede; foco técnico</v>
      </c>
      <c r="G400" s="17" t="s">
        <v>5</v>
      </c>
      <c r="H400" s="19"/>
    </row>
    <row r="401" ht="22.5" hidden="1" customHeight="1">
      <c r="A401" s="4" t="s">
        <v>30</v>
      </c>
      <c r="B401" s="4">
        <v>2023.0</v>
      </c>
      <c r="C401" s="4" t="s">
        <v>87</v>
      </c>
      <c r="D401" s="4" t="s">
        <v>607</v>
      </c>
      <c r="E401" s="4" t="str">
        <f>IFERROR(VLOOKUP(G401, 'Padronização'!A:C, 2, FALSE), "")</f>
        <v>⚠️</v>
      </c>
      <c r="F401" s="23" t="str">
        <f>IFERROR(VLOOKUP(G401, 'Padronização'!A:C, 3, FALSE), "")</f>
        <v>Crise explícita com foco em infraestrutura</v>
      </c>
      <c r="G401" s="23" t="s">
        <v>40</v>
      </c>
      <c r="H401" s="33"/>
    </row>
    <row r="402" ht="22.5" customHeight="1">
      <c r="A402" s="4" t="s">
        <v>30</v>
      </c>
      <c r="B402" s="4">
        <v>2023.0</v>
      </c>
      <c r="C402" s="4" t="s">
        <v>33</v>
      </c>
      <c r="D402" s="4" t="s">
        <v>422</v>
      </c>
      <c r="E402" s="4" t="str">
        <f>IFERROR(VLOOKUP(G402, 'Padronização'!A:C, 2, FALSE), "")</f>
        <v>✅</v>
      </c>
      <c r="F402" s="23" t="str">
        <f>IFERROR(VLOOKUP(G402, 'Padronização'!A:C, 3, FALSE), "")</f>
        <v>Grupos vulneráveis em cenários de crise</v>
      </c>
      <c r="G402" s="23" t="s">
        <v>54</v>
      </c>
      <c r="H402" s="33"/>
    </row>
    <row r="403" ht="22.5" customHeight="1">
      <c r="A403" s="4" t="s">
        <v>30</v>
      </c>
      <c r="B403" s="4">
        <v>2023.0</v>
      </c>
      <c r="C403" s="4" t="s">
        <v>33</v>
      </c>
      <c r="D403" s="4" t="s">
        <v>425</v>
      </c>
      <c r="E403" s="4" t="str">
        <f>IFERROR(VLOOKUP(G403, 'Padronização'!A:C, 2, FALSE), "")</f>
        <v>✅</v>
      </c>
      <c r="F403" s="23" t="str">
        <f>IFERROR(VLOOKUP(G403, 'Padronização'!A:C, 3, FALSE), "")</f>
        <v>ABM/MAS aplicado à evacuação</v>
      </c>
      <c r="G403" s="23" t="s">
        <v>45</v>
      </c>
      <c r="H403" s="33"/>
    </row>
    <row r="404" ht="22.5" customHeight="1">
      <c r="A404" s="4" t="s">
        <v>30</v>
      </c>
      <c r="B404" s="4">
        <v>2023.0</v>
      </c>
      <c r="C404" s="4" t="s">
        <v>33</v>
      </c>
      <c r="D404" s="4" t="s">
        <v>428</v>
      </c>
      <c r="E404" s="4" t="str">
        <f>IFERROR(VLOOKUP(G404, 'Padronização'!A:C, 2, FALSE), "")</f>
        <v>✅</v>
      </c>
      <c r="F404" s="23" t="str">
        <f>IFERROR(VLOOKUP(G404, 'Padronização'!A:C, 3, FALSE), "")</f>
        <v>Resposta humana a alertas e decisões</v>
      </c>
      <c r="G404" s="23" t="s">
        <v>50</v>
      </c>
      <c r="H404" s="33"/>
    </row>
    <row r="405" ht="22.5" hidden="1" customHeight="1">
      <c r="A405" s="4" t="s">
        <v>30</v>
      </c>
      <c r="B405" s="4">
        <v>2023.0</v>
      </c>
      <c r="C405" s="4" t="s">
        <v>33</v>
      </c>
      <c r="D405" s="4" t="s">
        <v>613</v>
      </c>
      <c r="E405" s="4" t="str">
        <f>IFERROR(VLOOKUP(G405, 'Padronização'!A:C, 2, FALSE), "")</f>
        <v>❌</v>
      </c>
      <c r="F405" s="23" t="str">
        <f>IFERROR(VLOOKUP(G405, 'Padronização'!A:C, 3, FALSE), "")</f>
        <v>Transporte / tráfego em operação normal</v>
      </c>
      <c r="G405" s="23" t="s">
        <v>19</v>
      </c>
      <c r="H405" s="33"/>
    </row>
    <row r="406" ht="22.5" customHeight="1">
      <c r="A406" s="4" t="s">
        <v>30</v>
      </c>
      <c r="B406" s="4">
        <v>2023.0</v>
      </c>
      <c r="C406" s="4" t="s">
        <v>33</v>
      </c>
      <c r="D406" s="4" t="s">
        <v>431</v>
      </c>
      <c r="E406" s="4" t="str">
        <f>IFERROR(VLOOKUP(G406, 'Padronização'!A:C, 2, FALSE), "")</f>
        <v>✅</v>
      </c>
      <c r="F406" s="23" t="str">
        <f>IFERROR(VLOOKUP(G406, 'Padronização'!A:C, 3, FALSE), "")</f>
        <v>ABM/MAS focado em comportamento humano cognitivo</v>
      </c>
      <c r="G406" s="23" t="s">
        <v>47</v>
      </c>
      <c r="H406" s="33"/>
    </row>
    <row r="407" ht="22.5" customHeight="1">
      <c r="A407" s="4" t="s">
        <v>30</v>
      </c>
      <c r="B407" s="4">
        <v>2023.0</v>
      </c>
      <c r="C407" s="4" t="s">
        <v>33</v>
      </c>
      <c r="D407" s="4" t="s">
        <v>432</v>
      </c>
      <c r="E407" s="4" t="str">
        <f>IFERROR(VLOOKUP(G407, 'Padronização'!A:C, 2, FALSE), "")</f>
        <v>✅</v>
      </c>
      <c r="F407" s="23" t="str">
        <f>IFERROR(VLOOKUP(G407, 'Padronização'!A:C, 3, FALSE), "")</f>
        <v>Resposta humana a alertas e decisões</v>
      </c>
      <c r="G407" s="23" t="s">
        <v>50</v>
      </c>
      <c r="H407" s="33"/>
    </row>
    <row r="408" ht="22.5" hidden="1" customHeight="1">
      <c r="A408" s="4" t="s">
        <v>30</v>
      </c>
      <c r="B408" s="4">
        <v>2023.0</v>
      </c>
      <c r="C408" s="4" t="s">
        <v>33</v>
      </c>
      <c r="D408" s="4" t="s">
        <v>616</v>
      </c>
      <c r="E408" s="4" t="str">
        <f>IFERROR(VLOOKUP(G408, 'Padronização'!A:C, 2, FALSE), "")</f>
        <v>❌</v>
      </c>
      <c r="F408" s="23" t="str">
        <f>IFERROR(VLOOKUP(G408, 'Padronização'!A:C, 3, FALSE), "")</f>
        <v>Energia, grid, V2G; crise tratada como operação técnica</v>
      </c>
      <c r="G408" s="23" t="s">
        <v>12</v>
      </c>
      <c r="H408" s="33"/>
    </row>
    <row r="409" ht="22.5" customHeight="1">
      <c r="A409" s="4" t="s">
        <v>30</v>
      </c>
      <c r="B409" s="4">
        <v>2023.0</v>
      </c>
      <c r="C409" s="4" t="s">
        <v>33</v>
      </c>
      <c r="D409" s="4" t="s">
        <v>433</v>
      </c>
      <c r="E409" s="4" t="str">
        <f>IFERROR(VLOOKUP(G409, 'Padronização'!A:C, 2, FALSE), "")</f>
        <v>✅</v>
      </c>
      <c r="F409" s="23" t="str">
        <f>IFERROR(VLOOKUP(G409, 'Padronização'!A:C, 3, FALSE), "")</f>
        <v>ABM/MAS aplicado à evacuação</v>
      </c>
      <c r="G409" s="3" t="s">
        <v>45</v>
      </c>
      <c r="H409" s="33"/>
    </row>
    <row r="410" ht="22.5" customHeight="1">
      <c r="A410" s="4" t="s">
        <v>30</v>
      </c>
      <c r="B410" s="4">
        <v>2023.0</v>
      </c>
      <c r="C410" s="4" t="s">
        <v>33</v>
      </c>
      <c r="D410" s="4" t="s">
        <v>618</v>
      </c>
      <c r="E410" s="4" t="str">
        <f>IFERROR(VLOOKUP(G410, 'Padronização'!A:C, 2, FALSE), "")</f>
        <v>✅</v>
      </c>
      <c r="F410" s="23" t="str">
        <f>IFERROR(VLOOKUP(G410, 'Padronização'!A:C, 3, FALSE), "")</f>
        <v>ABM/MAS focado em comportamento humano cognitivo</v>
      </c>
      <c r="G410" s="3" t="s">
        <v>47</v>
      </c>
      <c r="H410" s="33"/>
    </row>
    <row r="411" ht="22.5" customHeight="1">
      <c r="A411" s="4" t="s">
        <v>30</v>
      </c>
      <c r="B411" s="4">
        <v>2023.0</v>
      </c>
      <c r="C411" s="4" t="s">
        <v>33</v>
      </c>
      <c r="D411" s="4" t="s">
        <v>437</v>
      </c>
      <c r="E411" s="4" t="str">
        <f>IFERROR(VLOOKUP(G411, 'Padronização'!A:C, 2, FALSE), "")</f>
        <v>✅</v>
      </c>
      <c r="F411" s="23" t="str">
        <f>IFERROR(VLOOKUP(G411, 'Padronização'!A:C, 3, FALSE), "")</f>
        <v>ABM/MAS aplicado à evacuação</v>
      </c>
      <c r="G411" s="3" t="s">
        <v>45</v>
      </c>
      <c r="H411" s="33"/>
    </row>
    <row r="412" ht="22.5" hidden="1" customHeight="1">
      <c r="A412" s="4" t="s">
        <v>30</v>
      </c>
      <c r="B412" s="4">
        <v>2023.0</v>
      </c>
      <c r="C412" s="4" t="s">
        <v>33</v>
      </c>
      <c r="D412" s="4" t="s">
        <v>620</v>
      </c>
      <c r="E412" s="4" t="str">
        <f>IFERROR(VLOOKUP(G412, 'Padronização'!A:C, 2, FALSE), "")</f>
        <v>⚠️</v>
      </c>
      <c r="F412" s="23" t="str">
        <f>IFERROR(VLOOKUP(G412, 'Padronização'!A:C, 3, FALSE), "")</f>
        <v>Emergência sem evacuação clara</v>
      </c>
      <c r="G412" s="3" t="s">
        <v>43</v>
      </c>
      <c r="H412" s="33"/>
    </row>
    <row r="413" ht="22.5" hidden="1" customHeight="1">
      <c r="A413" s="4" t="s">
        <v>30</v>
      </c>
      <c r="B413" s="4">
        <v>2023.0</v>
      </c>
      <c r="C413" s="4" t="s">
        <v>390</v>
      </c>
      <c r="D413" s="4" t="s">
        <v>621</v>
      </c>
      <c r="E413" s="4" t="str">
        <f>IFERROR(VLOOKUP(G413, 'Padronização'!A:C, 2, FALSE), "")</f>
        <v>⚠️</v>
      </c>
      <c r="F413" s="23" t="str">
        <f>IFERROR(VLOOKUP(G413, 'Padronização'!A:C, 3, FALSE), "")</f>
        <v>Crise explícita com foco em infraestrutura</v>
      </c>
      <c r="G413" s="23" t="s">
        <v>40</v>
      </c>
      <c r="H413" s="33"/>
    </row>
    <row r="414" ht="22.5" customHeight="1">
      <c r="A414" s="4" t="s">
        <v>30</v>
      </c>
      <c r="B414" s="4">
        <v>2023.0</v>
      </c>
      <c r="C414" s="4" t="s">
        <v>87</v>
      </c>
      <c r="D414" s="4" t="s">
        <v>440</v>
      </c>
      <c r="E414" s="4" t="str">
        <f>IFERROR(VLOOKUP(G414, 'Padronização'!A:C, 2, FALSE), "")</f>
        <v>✅</v>
      </c>
      <c r="F414" s="23" t="str">
        <f>IFERROR(VLOOKUP(G414, 'Padronização'!A:C, 3, FALSE), "")</f>
        <v>Resposta humana a alertas e decisões</v>
      </c>
      <c r="G414" s="3" t="s">
        <v>50</v>
      </c>
      <c r="H414" s="33"/>
    </row>
    <row r="415" ht="22.5" hidden="1" customHeight="1">
      <c r="A415" s="4" t="s">
        <v>30</v>
      </c>
      <c r="B415" s="4">
        <v>2023.0</v>
      </c>
      <c r="C415" s="4" t="s">
        <v>33</v>
      </c>
      <c r="D415" s="4" t="s">
        <v>623</v>
      </c>
      <c r="E415" s="4" t="str">
        <f>IFERROR(VLOOKUP(G415, 'Padronização'!A:C, 2, FALSE), "")</f>
        <v>❌</v>
      </c>
      <c r="F415" s="23" t="str">
        <f>IFERROR(VLOOKUP(G415, 'Padronização'!A:C, 3, FALSE), "")</f>
        <v>Energia, grid, V2G; crise tratada como operação técnica</v>
      </c>
      <c r="G415" s="3" t="s">
        <v>12</v>
      </c>
      <c r="H415" s="33"/>
    </row>
    <row r="416" ht="22.5" hidden="1" customHeight="1">
      <c r="A416" s="4" t="s">
        <v>30</v>
      </c>
      <c r="B416" s="4">
        <v>2023.0</v>
      </c>
      <c r="C416" s="4" t="s">
        <v>33</v>
      </c>
      <c r="D416" s="4" t="s">
        <v>625</v>
      </c>
      <c r="E416" s="4" t="str">
        <f>IFERROR(VLOOKUP(G416, 'Padronização'!A:C, 2, FALSE), "")</f>
        <v>❌</v>
      </c>
      <c r="F416" s="23" t="str">
        <f>IFERROR(VLOOKUP(G416, 'Padronização'!A:C, 3, FALSE), "")</f>
        <v>Energia, grid, V2G; crise tratada como operação técnica</v>
      </c>
      <c r="G416" s="3" t="s">
        <v>12</v>
      </c>
      <c r="H416" s="33"/>
    </row>
    <row r="417" ht="22.5" customHeight="1">
      <c r="A417" s="4" t="s">
        <v>30</v>
      </c>
      <c r="B417" s="4">
        <v>2023.0</v>
      </c>
      <c r="C417" s="4" t="s">
        <v>87</v>
      </c>
      <c r="D417" s="4" t="s">
        <v>442</v>
      </c>
      <c r="E417" s="4" t="str">
        <f>IFERROR(VLOOKUP(G417, 'Padronização'!A:C, 2, FALSE), "")</f>
        <v>✅</v>
      </c>
      <c r="F417" s="23" t="str">
        <f>IFERROR(VLOOKUP(G417, 'Padronização'!A:C, 3, FALSE), "")</f>
        <v>ABM/MAS aplicado à evacuação</v>
      </c>
      <c r="G417" s="3" t="s">
        <v>45</v>
      </c>
      <c r="H417" s="33"/>
    </row>
    <row r="418" ht="22.5" customHeight="1">
      <c r="A418" s="4" t="s">
        <v>30</v>
      </c>
      <c r="B418" s="4">
        <v>2023.0</v>
      </c>
      <c r="C418" s="4" t="s">
        <v>390</v>
      </c>
      <c r="D418" s="4" t="s">
        <v>627</v>
      </c>
      <c r="E418" s="4" t="str">
        <f>IFERROR(VLOOKUP(G418, 'Padronização'!A:C, 2, FALSE), "")</f>
        <v>✅</v>
      </c>
      <c r="F418" s="23" t="str">
        <f>IFERROR(VLOOKUP(G418, 'Padronização'!A:C, 3, FALSE), "")</f>
        <v>ABM/MAS focado em comportamento humano cognitivo</v>
      </c>
      <c r="G418" s="23" t="s">
        <v>47</v>
      </c>
      <c r="H418" s="33"/>
    </row>
    <row r="419" ht="22.5" customHeight="1">
      <c r="A419" s="4" t="s">
        <v>30</v>
      </c>
      <c r="B419" s="4">
        <v>2023.0</v>
      </c>
      <c r="C419" s="4" t="s">
        <v>33</v>
      </c>
      <c r="D419" s="4" t="s">
        <v>447</v>
      </c>
      <c r="E419" s="4" t="str">
        <f>IFERROR(VLOOKUP(G419, 'Padronização'!A:C, 2, FALSE), "")</f>
        <v>✅</v>
      </c>
      <c r="F419" s="23" t="str">
        <f>IFERROR(VLOOKUP(G419, 'Padronização'!A:C, 3, FALSE), "")</f>
        <v>ABM/MAS focado em comportamento humano cognitivo</v>
      </c>
      <c r="G419" s="3" t="s">
        <v>47</v>
      </c>
      <c r="H419" s="33"/>
    </row>
    <row r="420" ht="22.5" hidden="1" customHeight="1">
      <c r="A420" s="4" t="s">
        <v>30</v>
      </c>
      <c r="B420" s="4">
        <v>2023.0</v>
      </c>
      <c r="C420" s="4" t="s">
        <v>33</v>
      </c>
      <c r="D420" s="4" t="s">
        <v>628</v>
      </c>
      <c r="E420" s="4" t="str">
        <f>IFERROR(VLOOKUP(G420, 'Padronização'!A:C, 2, FALSE), "")</f>
        <v>⚠️</v>
      </c>
      <c r="F420" s="23" t="str">
        <f>IFERROR(VLOOKUP(G420, 'Padronização'!A:C, 3, FALSE), "")</f>
        <v>Emergência sem evacuação clara</v>
      </c>
      <c r="G420" s="3" t="s">
        <v>43</v>
      </c>
      <c r="H420" s="33"/>
    </row>
    <row r="421" ht="22.5" hidden="1" customHeight="1">
      <c r="A421" s="4" t="s">
        <v>30</v>
      </c>
      <c r="B421" s="4">
        <v>2023.0</v>
      </c>
      <c r="C421" s="4" t="s">
        <v>33</v>
      </c>
      <c r="D421" s="4" t="s">
        <v>630</v>
      </c>
      <c r="E421" s="4" t="str">
        <f>IFERROR(VLOOKUP(G421, 'Padronização'!A:C, 2, FALSE), "")</f>
        <v>❌</v>
      </c>
      <c r="F421" s="23" t="str">
        <f>IFERROR(VLOOKUP(G421, 'Padronização'!A:C, 3, FALSE), "")</f>
        <v>Não aborda cenário de crise ou desastre</v>
      </c>
      <c r="G421" s="3" t="s">
        <v>31</v>
      </c>
      <c r="H421" s="33"/>
    </row>
    <row r="422" ht="22.5" hidden="1" customHeight="1">
      <c r="A422" s="4" t="s">
        <v>30</v>
      </c>
      <c r="B422" s="4">
        <v>2023.0</v>
      </c>
      <c r="C422" s="4" t="s">
        <v>33</v>
      </c>
      <c r="D422" s="4" t="s">
        <v>631</v>
      </c>
      <c r="E422" s="4" t="str">
        <f>IFERROR(VLOOKUP(G422, 'Padronização'!A:C, 2, FALSE), "")</f>
        <v>❌</v>
      </c>
      <c r="F422" s="23" t="str">
        <f>IFERROR(VLOOKUP(G422, 'Padronização'!A:C, 3, FALSE), "")</f>
        <v>Telecomunicações emergenciais / alocação de rede; foco técnico</v>
      </c>
      <c r="G422" s="3" t="s">
        <v>5</v>
      </c>
      <c r="H422" s="33"/>
    </row>
    <row r="423" ht="22.5" hidden="1" customHeight="1">
      <c r="A423" s="4" t="s">
        <v>30</v>
      </c>
      <c r="B423" s="4">
        <v>2023.0</v>
      </c>
      <c r="C423" s="4" t="s">
        <v>33</v>
      </c>
      <c r="D423" s="4" t="s">
        <v>632</v>
      </c>
      <c r="E423" s="4" t="str">
        <f>IFERROR(VLOOKUP(G423, 'Padronização'!A:C, 2, FALSE), "")</f>
        <v>❌</v>
      </c>
      <c r="F423" s="23" t="str">
        <f>IFERROR(VLOOKUP(G423, 'Padronização'!A:C, 3, FALSE), "")</f>
        <v>Não aborda cenário de crise ou desastre</v>
      </c>
      <c r="G423" s="3" t="s">
        <v>31</v>
      </c>
      <c r="H423" s="23"/>
    </row>
    <row r="424" ht="22.5" hidden="1" customHeight="1">
      <c r="A424" s="4" t="s">
        <v>30</v>
      </c>
      <c r="B424" s="4">
        <v>2023.0</v>
      </c>
      <c r="C424" s="4" t="s">
        <v>33</v>
      </c>
      <c r="D424" s="4" t="s">
        <v>634</v>
      </c>
      <c r="E424" s="4" t="str">
        <f>IFERROR(VLOOKUP(G424, 'Padronização'!A:C, 2, FALSE), "")</f>
        <v>❌</v>
      </c>
      <c r="F424" s="23" t="str">
        <f>IFERROR(VLOOKUP(G424, 'Padronização'!A:C, 3, FALSE), "")</f>
        <v>Energia, grid, V2G; crise tratada como operação técnica</v>
      </c>
      <c r="G424" s="23" t="s">
        <v>12</v>
      </c>
      <c r="H424" s="33"/>
    </row>
    <row r="425" ht="22.5" hidden="1" customHeight="1">
      <c r="A425" s="4" t="s">
        <v>30</v>
      </c>
      <c r="B425" s="4">
        <v>2023.0</v>
      </c>
      <c r="C425" s="4" t="s">
        <v>33</v>
      </c>
      <c r="D425" s="4" t="s">
        <v>635</v>
      </c>
      <c r="E425" s="4" t="str">
        <f>IFERROR(VLOOKUP(G425, 'Padronização'!A:C, 2, FALSE), "")</f>
        <v>❌</v>
      </c>
      <c r="F425" s="23" t="str">
        <f>IFERROR(VLOOKUP(G425, 'Padronização'!A:C, 3, FALSE), "")</f>
        <v>Não aborda cenário de crise ou desastre</v>
      </c>
      <c r="G425" s="23" t="s">
        <v>31</v>
      </c>
      <c r="H425" s="33"/>
    </row>
    <row r="426" ht="22.5" hidden="1" customHeight="1">
      <c r="A426" s="4" t="s">
        <v>30</v>
      </c>
      <c r="B426" s="4">
        <v>2023.0</v>
      </c>
      <c r="C426" s="4" t="s">
        <v>33</v>
      </c>
      <c r="D426" s="4" t="s">
        <v>636</v>
      </c>
      <c r="E426" s="4" t="str">
        <f>IFERROR(VLOOKUP(G426, 'Padronização'!A:C, 2, FALSE), "")</f>
        <v>❌</v>
      </c>
      <c r="F426" s="23" t="str">
        <f>IFERROR(VLOOKUP(G426, 'Padronização'!A:C, 3, FALSE), "")</f>
        <v>Artigo metodológico genérico (framework, design, how-to)</v>
      </c>
      <c r="G426" s="23" t="s">
        <v>27</v>
      </c>
      <c r="H426" s="33"/>
    </row>
    <row r="427" ht="22.5" customHeight="1">
      <c r="A427" s="4" t="s">
        <v>30</v>
      </c>
      <c r="B427" s="4">
        <v>2023.0</v>
      </c>
      <c r="C427" s="4" t="s">
        <v>33</v>
      </c>
      <c r="D427" s="4" t="s">
        <v>449</v>
      </c>
      <c r="E427" s="4" t="str">
        <f>IFERROR(VLOOKUP(G427, 'Padronização'!A:C, 2, FALSE), "")</f>
        <v>✅</v>
      </c>
      <c r="F427" s="23" t="str">
        <f>IFERROR(VLOOKUP(G427, 'Padronização'!A:C, 3, FALSE), "")</f>
        <v>ABM/MAS aplicado à evacuação</v>
      </c>
      <c r="G427" s="23" t="s">
        <v>45</v>
      </c>
      <c r="H427" s="33"/>
    </row>
    <row r="428" ht="22.5" hidden="1" customHeight="1">
      <c r="A428" s="4" t="s">
        <v>30</v>
      </c>
      <c r="B428" s="4">
        <v>2023.0</v>
      </c>
      <c r="C428" s="4" t="s">
        <v>33</v>
      </c>
      <c r="D428" s="4" t="s">
        <v>637</v>
      </c>
      <c r="E428" s="4" t="str">
        <f>IFERROR(VLOOKUP(G428, 'Padronização'!A:C, 2, FALSE), "")</f>
        <v>⚠️</v>
      </c>
      <c r="F428" s="23" t="str">
        <f>IFERROR(VLOOKUP(G428, 'Padronização'!A:C, 3, FALSE), "")</f>
        <v>Emergência sem evacuação clara</v>
      </c>
      <c r="G428" s="23" t="s">
        <v>43</v>
      </c>
      <c r="H428" s="33"/>
    </row>
    <row r="429" ht="22.5" hidden="1" customHeight="1">
      <c r="A429" s="4" t="s">
        <v>30</v>
      </c>
      <c r="B429" s="4">
        <v>2023.0</v>
      </c>
      <c r="C429" s="4" t="s">
        <v>33</v>
      </c>
      <c r="D429" s="4" t="s">
        <v>638</v>
      </c>
      <c r="E429" s="4" t="str">
        <f>IFERROR(VLOOKUP(G429, 'Padronização'!A:C, 2, FALSE), "")</f>
        <v>⚠️</v>
      </c>
      <c r="F429" s="23" t="str">
        <f>IFERROR(VLOOKUP(G429, 'Padronização'!A:C, 3, FALSE), "")</f>
        <v>Crise explícita com foco em infraestrutura</v>
      </c>
      <c r="G429" s="23" t="s">
        <v>40</v>
      </c>
      <c r="H429" s="33"/>
    </row>
    <row r="430" ht="22.5" hidden="1" customHeight="1">
      <c r="A430" s="4" t="s">
        <v>30</v>
      </c>
      <c r="B430" s="4">
        <v>2023.0</v>
      </c>
      <c r="C430" s="4" t="s">
        <v>33</v>
      </c>
      <c r="D430" s="4" t="s">
        <v>640</v>
      </c>
      <c r="E430" s="4" t="str">
        <f>IFERROR(VLOOKUP(G430, 'Padronização'!A:C, 2, FALSE), "")</f>
        <v>❌</v>
      </c>
      <c r="F430" s="23" t="str">
        <f>IFERROR(VLOOKUP(G430, 'Padronização'!A:C, 3, FALSE), "")</f>
        <v>Emergência em saúde com foco operacional / Operação hospitalar</v>
      </c>
      <c r="G430" s="23" t="s">
        <v>38</v>
      </c>
      <c r="H430" s="33"/>
    </row>
    <row r="431" ht="22.5" hidden="1" customHeight="1">
      <c r="A431" s="4" t="s">
        <v>30</v>
      </c>
      <c r="B431" s="4">
        <v>2023.0</v>
      </c>
      <c r="C431" s="4" t="s">
        <v>33</v>
      </c>
      <c r="D431" s="4" t="s">
        <v>641</v>
      </c>
      <c r="E431" s="4" t="str">
        <f>IFERROR(VLOOKUP(G431, 'Padronização'!A:C, 2, FALSE), "")</f>
        <v>⚠️</v>
      </c>
      <c r="F431" s="23" t="str">
        <f>IFERROR(VLOOKUP(G431, 'Padronização'!A:C, 3, FALSE), "")</f>
        <v>Emergência sem evacuação clara</v>
      </c>
      <c r="G431" s="23" t="s">
        <v>43</v>
      </c>
      <c r="H431" s="33"/>
    </row>
    <row r="432" ht="22.5" hidden="1" customHeight="1">
      <c r="A432" s="4" t="s">
        <v>30</v>
      </c>
      <c r="B432" s="4">
        <v>2023.0</v>
      </c>
      <c r="C432" s="4" t="s">
        <v>33</v>
      </c>
      <c r="D432" s="4" t="s">
        <v>643</v>
      </c>
      <c r="E432" s="4" t="str">
        <f>IFERROR(VLOOKUP(G432, 'Padronização'!A:C, 2, FALSE), "")</f>
        <v>❌</v>
      </c>
      <c r="F432" s="23" t="str">
        <f>IFERROR(VLOOKUP(G432, 'Padronização'!A:C, 3, FALSE), "")</f>
        <v>Supply chain / impacto econômico indireto</v>
      </c>
      <c r="G432" s="23" t="s">
        <v>34</v>
      </c>
      <c r="H432" s="33"/>
    </row>
    <row r="433" ht="22.5" hidden="1" customHeight="1">
      <c r="A433" s="4" t="s">
        <v>30</v>
      </c>
      <c r="B433" s="4">
        <v>2023.0</v>
      </c>
      <c r="C433" s="4" t="s">
        <v>87</v>
      </c>
      <c r="D433" s="4" t="s">
        <v>645</v>
      </c>
      <c r="E433" s="4" t="str">
        <f>IFERROR(VLOOKUP(G433, 'Padronização'!A:C, 2, FALSE), "")</f>
        <v>❌</v>
      </c>
      <c r="F433" s="23" t="str">
        <f>IFERROR(VLOOKUP(G433, 'Padronização'!A:C, 3, FALSE), "")</f>
        <v>Energia, grid, V2G; crise tratada como operação técnica</v>
      </c>
      <c r="G433" s="23" t="s">
        <v>12</v>
      </c>
      <c r="H433" s="33"/>
    </row>
    <row r="434" ht="22.5" hidden="1" customHeight="1">
      <c r="A434" s="4" t="s">
        <v>30</v>
      </c>
      <c r="B434" s="4">
        <v>2023.0</v>
      </c>
      <c r="C434" s="4" t="s">
        <v>33</v>
      </c>
      <c r="D434" s="4" t="s">
        <v>647</v>
      </c>
      <c r="E434" s="4" t="str">
        <f>IFERROR(VLOOKUP(G434, 'Padronização'!A:C, 2, FALSE), "")</f>
        <v>❌</v>
      </c>
      <c r="F434" s="23" t="str">
        <f>IFERROR(VLOOKUP(G434, 'Padronização'!A:C, 3, FALSE), "")</f>
        <v>Não aborda cenário de crise ou desastre</v>
      </c>
      <c r="G434" s="23" t="s">
        <v>31</v>
      </c>
      <c r="H434" s="33"/>
    </row>
    <row r="435" ht="22.5" hidden="1" customHeight="1">
      <c r="A435" s="4" t="s">
        <v>30</v>
      </c>
      <c r="B435" s="4">
        <v>2023.0</v>
      </c>
      <c r="C435" s="4" t="s">
        <v>33</v>
      </c>
      <c r="D435" s="4" t="s">
        <v>648</v>
      </c>
      <c r="E435" s="4" t="str">
        <f>IFERROR(VLOOKUP(G435, 'Padronização'!A:C, 2, FALSE), "")</f>
        <v>❌</v>
      </c>
      <c r="F435" s="23" t="str">
        <f>IFERROR(VLOOKUP(G435, 'Padronização'!A:C, 3, FALSE), "")</f>
        <v>Telecomunicações emergenciais / alocação de rede; foco técnico</v>
      </c>
      <c r="G435" s="23" t="s">
        <v>5</v>
      </c>
      <c r="H435" s="33"/>
    </row>
    <row r="436" ht="22.5" hidden="1" customHeight="1">
      <c r="A436" s="4" t="s">
        <v>30</v>
      </c>
      <c r="B436" s="4">
        <v>2023.0</v>
      </c>
      <c r="C436" s="4" t="s">
        <v>33</v>
      </c>
      <c r="D436" s="4" t="s">
        <v>650</v>
      </c>
      <c r="E436" s="4" t="str">
        <f>IFERROR(VLOOKUP(G436, 'Padronização'!A:C, 2, FALSE), "")</f>
        <v>❌</v>
      </c>
      <c r="F436" s="23" t="str">
        <f>IFERROR(VLOOKUP(G436, 'Padronização'!A:C, 3, FALSE), "")</f>
        <v>Não aborda cenário de crise ou desastre</v>
      </c>
      <c r="G436" s="23" t="s">
        <v>31</v>
      </c>
      <c r="H436" s="33"/>
    </row>
    <row r="437" ht="22.5" customHeight="1">
      <c r="A437" s="4" t="s">
        <v>30</v>
      </c>
      <c r="B437" s="4">
        <v>2023.0</v>
      </c>
      <c r="C437" s="4" t="s">
        <v>87</v>
      </c>
      <c r="D437" s="4" t="s">
        <v>451</v>
      </c>
      <c r="E437" s="4" t="str">
        <f>IFERROR(VLOOKUP(G437, 'Padronização'!A:C, 2, FALSE), "")</f>
        <v>✅</v>
      </c>
      <c r="F437" s="23" t="str">
        <f>IFERROR(VLOOKUP(G437, 'Padronização'!A:C, 3, FALSE), "")</f>
        <v>ABM/MAS focado em comportamento humano cognitivo</v>
      </c>
      <c r="G437" s="3" t="s">
        <v>47</v>
      </c>
      <c r="H437" s="33"/>
    </row>
    <row r="438" ht="22.5" customHeight="1">
      <c r="A438" s="4" t="s">
        <v>30</v>
      </c>
      <c r="B438" s="4">
        <v>2023.0</v>
      </c>
      <c r="C438" s="4" t="s">
        <v>33</v>
      </c>
      <c r="D438" s="4" t="s">
        <v>652</v>
      </c>
      <c r="E438" s="4" t="str">
        <f>IFERROR(VLOOKUP(G438, 'Padronização'!A:C, 2, FALSE), "")</f>
        <v>✅</v>
      </c>
      <c r="F438" s="23" t="str">
        <f>IFERROR(VLOOKUP(G438, 'Padronização'!A:C, 3, FALSE), "")</f>
        <v>Resposta humana a alertas e decisões</v>
      </c>
      <c r="G438" s="3" t="s">
        <v>50</v>
      </c>
      <c r="H438" s="33"/>
    </row>
    <row r="439" ht="22.5" customHeight="1">
      <c r="A439" s="4" t="s">
        <v>30</v>
      </c>
      <c r="B439" s="4">
        <v>2023.0</v>
      </c>
      <c r="C439" s="4" t="s">
        <v>33</v>
      </c>
      <c r="D439" s="4" t="s">
        <v>654</v>
      </c>
      <c r="E439" s="4" t="str">
        <f>IFERROR(VLOOKUP(G439, 'Padronização'!A:C, 2, FALSE), "")</f>
        <v>✅</v>
      </c>
      <c r="F439" s="23" t="str">
        <f>IFERROR(VLOOKUP(G439, 'Padronização'!A:C, 3, FALSE), "")</f>
        <v>ABM/MAS aplicado à evacuação</v>
      </c>
      <c r="G439" s="3" t="s">
        <v>45</v>
      </c>
      <c r="H439" s="33"/>
    </row>
    <row r="440" ht="22.5" customHeight="1">
      <c r="A440" s="4" t="s">
        <v>30</v>
      </c>
      <c r="B440" s="4">
        <v>2023.0</v>
      </c>
      <c r="C440" s="4" t="s">
        <v>33</v>
      </c>
      <c r="D440" s="4" t="s">
        <v>460</v>
      </c>
      <c r="E440" s="4" t="str">
        <f>IFERROR(VLOOKUP(G440, 'Padronização'!A:C, 2, FALSE), "")</f>
        <v>✅</v>
      </c>
      <c r="F440" s="23" t="str">
        <f>IFERROR(VLOOKUP(G440, 'Padronização'!A:C, 3, FALSE), "")</f>
        <v>Grupos vulneráveis em cenários de crise</v>
      </c>
      <c r="G440" s="3" t="s">
        <v>54</v>
      </c>
      <c r="H440" s="33"/>
    </row>
    <row r="441" ht="22.5" customHeight="1">
      <c r="A441" s="4" t="s">
        <v>30</v>
      </c>
      <c r="B441" s="4">
        <v>2023.0</v>
      </c>
      <c r="C441" s="4" t="s">
        <v>33</v>
      </c>
      <c r="D441" s="4" t="s">
        <v>659</v>
      </c>
      <c r="E441" s="4" t="str">
        <f>IFERROR(VLOOKUP(G441, 'Padronização'!A:C, 2, FALSE), "")</f>
        <v>✅</v>
      </c>
      <c r="F441" s="23" t="str">
        <f>IFERROR(VLOOKUP(G441, 'Padronização'!A:C, 3, FALSE), "")</f>
        <v>ABM/MAS focado em comportamento humano cognitivo</v>
      </c>
      <c r="G441" s="23" t="s">
        <v>47</v>
      </c>
      <c r="H441" s="33"/>
    </row>
    <row r="442" ht="22.5" hidden="1" customHeight="1">
      <c r="A442" s="4" t="s">
        <v>30</v>
      </c>
      <c r="B442" s="4">
        <v>2023.0</v>
      </c>
      <c r="C442" s="4" t="s">
        <v>33</v>
      </c>
      <c r="D442" s="4" t="s">
        <v>661</v>
      </c>
      <c r="E442" s="4" t="str">
        <f>IFERROR(VLOOKUP(G442, 'Padronização'!A:C, 2, FALSE), "")</f>
        <v>❌</v>
      </c>
      <c r="F442" s="23" t="str">
        <f>IFERROR(VLOOKUP(G442, 'Padronização'!A:C, 3, FALSE), "")</f>
        <v>Artigo metodológico genérico (framework, design, how-to)</v>
      </c>
      <c r="G442" s="23" t="s">
        <v>27</v>
      </c>
      <c r="H442" s="33"/>
    </row>
    <row r="443" ht="22.5" customHeight="1">
      <c r="A443" s="4" t="s">
        <v>30</v>
      </c>
      <c r="B443" s="4">
        <v>2023.0</v>
      </c>
      <c r="C443" s="4" t="s">
        <v>33</v>
      </c>
      <c r="D443" s="4" t="s">
        <v>467</v>
      </c>
      <c r="E443" s="4" t="str">
        <f>IFERROR(VLOOKUP(G443, 'Padronização'!A:C, 2, FALSE), "")</f>
        <v>✅</v>
      </c>
      <c r="F443" s="23" t="str">
        <f>IFERROR(VLOOKUP(G443, 'Padronização'!A:C, 3, FALSE), "")</f>
        <v>ABM/MAS focado em comportamento humano cognitivo</v>
      </c>
      <c r="G443" s="23" t="s">
        <v>47</v>
      </c>
      <c r="H443" s="33"/>
    </row>
    <row r="444" ht="22.5" hidden="1" customHeight="1">
      <c r="A444" s="4" t="s">
        <v>30</v>
      </c>
      <c r="B444" s="4">
        <v>2023.0</v>
      </c>
      <c r="C444" s="4" t="s">
        <v>33</v>
      </c>
      <c r="D444" s="4" t="s">
        <v>662</v>
      </c>
      <c r="E444" s="4" t="str">
        <f>IFERROR(VLOOKUP(G444, 'Padronização'!A:C, 2, FALSE), "")</f>
        <v>⚠️</v>
      </c>
      <c r="F444" s="23" t="str">
        <f>IFERROR(VLOOKUP(G444, 'Padronização'!A:C, 3, FALSE), "")</f>
        <v>Crise explícita com foco em infraestrutura</v>
      </c>
      <c r="G444" s="23" t="s">
        <v>40</v>
      </c>
      <c r="H444" s="33"/>
    </row>
    <row r="445" ht="22.5" hidden="1" customHeight="1">
      <c r="A445" s="4" t="s">
        <v>30</v>
      </c>
      <c r="B445" s="4">
        <v>2023.0</v>
      </c>
      <c r="C445" s="4" t="s">
        <v>87</v>
      </c>
      <c r="D445" s="4" t="s">
        <v>664</v>
      </c>
      <c r="E445" s="4" t="str">
        <f>IFERROR(VLOOKUP(G445, 'Padronização'!A:C, 2, FALSE), "")</f>
        <v>❌</v>
      </c>
      <c r="F445" s="23" t="str">
        <f>IFERROR(VLOOKUP(G445, 'Padronização'!A:C, 3, FALSE), "")</f>
        <v>Transporte / tráfego em operação normal</v>
      </c>
      <c r="G445" s="23" t="s">
        <v>19</v>
      </c>
      <c r="H445" s="33"/>
    </row>
    <row r="446" ht="22.5" customHeight="1">
      <c r="A446" s="4" t="s">
        <v>30</v>
      </c>
      <c r="B446" s="4">
        <v>2023.0</v>
      </c>
      <c r="C446" s="4" t="s">
        <v>33</v>
      </c>
      <c r="D446" s="4" t="s">
        <v>472</v>
      </c>
      <c r="E446" s="4" t="str">
        <f>IFERROR(VLOOKUP(G446, 'Padronização'!A:C, 2, FALSE), "")</f>
        <v>✅</v>
      </c>
      <c r="F446" s="23" t="str">
        <f>IFERROR(VLOOKUP(G446, 'Padronização'!A:C, 3, FALSE), "")</f>
        <v>ABM/MAS aplicado à evacuação</v>
      </c>
      <c r="G446" s="23" t="s">
        <v>45</v>
      </c>
      <c r="H446" s="33"/>
    </row>
    <row r="447" ht="22.5" customHeight="1">
      <c r="A447" s="4" t="s">
        <v>30</v>
      </c>
      <c r="B447" s="4">
        <v>2023.0</v>
      </c>
      <c r="C447" s="4" t="s">
        <v>33</v>
      </c>
      <c r="D447" s="4" t="s">
        <v>666</v>
      </c>
      <c r="E447" s="4" t="str">
        <f>IFERROR(VLOOKUP(G447, 'Padronização'!A:C, 2, FALSE), "")</f>
        <v>✅</v>
      </c>
      <c r="F447" s="23" t="str">
        <f>IFERROR(VLOOKUP(G447, 'Padronização'!A:C, 3, FALSE), "")</f>
        <v>ABM/MAS aplicado à evacuação</v>
      </c>
      <c r="G447" s="23" t="s">
        <v>45</v>
      </c>
      <c r="H447" s="33"/>
    </row>
    <row r="448" ht="22.5" hidden="1" customHeight="1">
      <c r="A448" s="4" t="s">
        <v>30</v>
      </c>
      <c r="B448" s="4">
        <v>2023.0</v>
      </c>
      <c r="C448" s="4" t="s">
        <v>33</v>
      </c>
      <c r="D448" s="4" t="s">
        <v>667</v>
      </c>
      <c r="E448" s="4" t="str">
        <f>IFERROR(VLOOKUP(G448, 'Padronização'!A:C, 2, FALSE), "")</f>
        <v>⚠️</v>
      </c>
      <c r="F448" s="23" t="str">
        <f>IFERROR(VLOOKUP(G448, 'Padronização'!A:C, 3, FALSE), "")</f>
        <v>Crise explícita com foco em infraestrutura</v>
      </c>
      <c r="G448" s="23" t="s">
        <v>40</v>
      </c>
      <c r="H448" s="33"/>
    </row>
    <row r="449" ht="22.5" customHeight="1">
      <c r="A449" s="4" t="s">
        <v>30</v>
      </c>
      <c r="B449" s="4">
        <v>2023.0</v>
      </c>
      <c r="C449" s="4" t="s">
        <v>33</v>
      </c>
      <c r="D449" s="4" t="s">
        <v>478</v>
      </c>
      <c r="E449" s="4" t="str">
        <f>IFERROR(VLOOKUP(G449, 'Padronização'!A:C, 2, FALSE), "")</f>
        <v>✅</v>
      </c>
      <c r="F449" s="23" t="str">
        <f>IFERROR(VLOOKUP(G449, 'Padronização'!A:C, 3, FALSE), "")</f>
        <v>ABM/MAS focado em comportamento humano cognitivo</v>
      </c>
      <c r="G449" s="23" t="s">
        <v>47</v>
      </c>
      <c r="H449" s="33"/>
    </row>
    <row r="450" ht="22.5" hidden="1" customHeight="1">
      <c r="A450" s="4" t="s">
        <v>30</v>
      </c>
      <c r="B450" s="4">
        <v>2023.0</v>
      </c>
      <c r="C450" s="4" t="s">
        <v>33</v>
      </c>
      <c r="D450" s="4" t="s">
        <v>669</v>
      </c>
      <c r="E450" s="4" t="str">
        <f>IFERROR(VLOOKUP(G450, 'Padronização'!A:C, 2, FALSE), "")</f>
        <v>❌</v>
      </c>
      <c r="F450" s="23" t="str">
        <f>IFERROR(VLOOKUP(G450, 'Padronização'!A:C, 3, FALSE), "")</f>
        <v>Energia, grid, V2G; crise tratada como operação técnica</v>
      </c>
      <c r="G450" s="23" t="s">
        <v>12</v>
      </c>
      <c r="H450" s="33"/>
    </row>
    <row r="451" ht="22.5" hidden="1" customHeight="1">
      <c r="A451" s="4" t="s">
        <v>30</v>
      </c>
      <c r="B451" s="4">
        <v>2023.0</v>
      </c>
      <c r="C451" s="4" t="s">
        <v>33</v>
      </c>
      <c r="D451" s="4" t="s">
        <v>670</v>
      </c>
      <c r="E451" s="4" t="str">
        <f>IFERROR(VLOOKUP(G451, 'Padronização'!A:C, 2, FALSE), "")</f>
        <v>❌</v>
      </c>
      <c r="F451" s="23" t="str">
        <f>IFERROR(VLOOKUP(G451, 'Padronização'!A:C, 3, FALSE), "")</f>
        <v>Telecomunicações emergenciais / alocação de rede; foco técnico</v>
      </c>
      <c r="G451" s="23" t="s">
        <v>5</v>
      </c>
      <c r="H451" s="33"/>
    </row>
    <row r="452" ht="22.5" customHeight="1">
      <c r="A452" s="4" t="s">
        <v>30</v>
      </c>
      <c r="B452" s="4">
        <v>2023.0</v>
      </c>
      <c r="C452" s="4" t="s">
        <v>33</v>
      </c>
      <c r="D452" s="4" t="s">
        <v>139</v>
      </c>
      <c r="E452" s="4" t="str">
        <f>IFERROR(VLOOKUP(G452, 'Padronização'!A:C, 2, FALSE), "")</f>
        <v>✅</v>
      </c>
      <c r="F452" s="23" t="str">
        <f>IFERROR(VLOOKUP(G452, 'Padronização'!A:C, 3, FALSE), "")</f>
        <v>ABM/MAS aplicado à evacuação</v>
      </c>
      <c r="G452" s="23" t="s">
        <v>45</v>
      </c>
      <c r="H452" s="33"/>
    </row>
    <row r="453" ht="22.5" customHeight="1">
      <c r="A453" s="4" t="s">
        <v>30</v>
      </c>
      <c r="B453" s="4">
        <v>2023.0</v>
      </c>
      <c r="C453" s="4" t="s">
        <v>33</v>
      </c>
      <c r="D453" s="4" t="s">
        <v>672</v>
      </c>
      <c r="E453" s="4" t="str">
        <f>IFERROR(VLOOKUP(G453, 'Padronização'!A:C, 2, FALSE), "")</f>
        <v>✅</v>
      </c>
      <c r="F453" s="23" t="str">
        <f>IFERROR(VLOOKUP(G453, 'Padronização'!A:C, 3, FALSE), "")</f>
        <v>ABM/MAS aplicado à evacuação</v>
      </c>
      <c r="G453" s="23" t="s">
        <v>45</v>
      </c>
      <c r="H453" s="33"/>
    </row>
    <row r="454" ht="22.5" hidden="1" customHeight="1">
      <c r="A454" s="4" t="s">
        <v>30</v>
      </c>
      <c r="B454" s="4">
        <v>2023.0</v>
      </c>
      <c r="C454" s="4" t="s">
        <v>33</v>
      </c>
      <c r="D454" s="4" t="s">
        <v>673</v>
      </c>
      <c r="E454" s="4" t="str">
        <f>IFERROR(VLOOKUP(G454, 'Padronização'!A:C, 2, FALSE), "")</f>
        <v>❌</v>
      </c>
      <c r="F454" s="23" t="str">
        <f>IFERROR(VLOOKUP(G454, 'Padronização'!A:C, 3, FALSE), "")</f>
        <v>Transporte / tráfego em operação normal</v>
      </c>
      <c r="G454" s="23" t="s">
        <v>19</v>
      </c>
      <c r="H454" s="33"/>
    </row>
    <row r="455" ht="22.5" customHeight="1">
      <c r="A455" s="4" t="s">
        <v>30</v>
      </c>
      <c r="B455" s="4">
        <v>2023.0</v>
      </c>
      <c r="C455" s="4" t="s">
        <v>33</v>
      </c>
      <c r="D455" s="4" t="s">
        <v>485</v>
      </c>
      <c r="E455" s="4" t="str">
        <f>IFERROR(VLOOKUP(G455, 'Padronização'!A:C, 2, FALSE), "")</f>
        <v>✅</v>
      </c>
      <c r="F455" s="23" t="str">
        <f>IFERROR(VLOOKUP(G455, 'Padronização'!A:C, 3, FALSE), "")</f>
        <v>ABM/MAS aplicado à evacuação</v>
      </c>
      <c r="G455" s="23" t="s">
        <v>45</v>
      </c>
      <c r="H455" s="33"/>
    </row>
    <row r="456" ht="22.5" hidden="1" customHeight="1">
      <c r="A456" s="4" t="s">
        <v>30</v>
      </c>
      <c r="B456" s="4">
        <v>2023.0</v>
      </c>
      <c r="C456" s="4" t="s">
        <v>33</v>
      </c>
      <c r="D456" s="4" t="s">
        <v>674</v>
      </c>
      <c r="E456" s="4" t="str">
        <f>IFERROR(VLOOKUP(G456, 'Padronização'!A:C, 2, FALSE), "")</f>
        <v>❌</v>
      </c>
      <c r="F456" s="23" t="str">
        <f>IFERROR(VLOOKUP(G456, 'Padronização'!A:C, 3, FALSE), "")</f>
        <v>Não aborda cenário de crise ou desastre</v>
      </c>
      <c r="G456" s="23" t="s">
        <v>31</v>
      </c>
      <c r="H456" s="33"/>
    </row>
    <row r="457" ht="22.5" hidden="1" customHeight="1">
      <c r="A457" s="4" t="s">
        <v>30</v>
      </c>
      <c r="B457" s="4">
        <v>2023.0</v>
      </c>
      <c r="C457" s="4" t="s">
        <v>33</v>
      </c>
      <c r="D457" s="4" t="s">
        <v>675</v>
      </c>
      <c r="E457" s="4" t="str">
        <f>IFERROR(VLOOKUP(G457, 'Padronização'!A:C, 2, FALSE), "")</f>
        <v>⚠️</v>
      </c>
      <c r="F457" s="23" t="str">
        <f>IFERROR(VLOOKUP(G457, 'Padronização'!A:C, 3, FALSE), "")</f>
        <v>Crise explícita com foco em infraestrutura</v>
      </c>
      <c r="G457" s="23" t="s">
        <v>40</v>
      </c>
      <c r="H457" s="33"/>
    </row>
    <row r="458" ht="22.5" hidden="1" customHeight="1">
      <c r="A458" s="4" t="s">
        <v>30</v>
      </c>
      <c r="B458" s="4">
        <v>2023.0</v>
      </c>
      <c r="C458" s="4" t="s">
        <v>390</v>
      </c>
      <c r="D458" s="4" t="s">
        <v>677</v>
      </c>
      <c r="E458" s="4" t="str">
        <f>IFERROR(VLOOKUP(G458, 'Padronização'!A:C, 2, FALSE), "")</f>
        <v>❌</v>
      </c>
      <c r="F458" s="23" t="str">
        <f>IFERROR(VLOOKUP(G458, 'Padronização'!A:C, 3, FALSE), "")</f>
        <v>Artigo metodológico genérico (framework, design, how-to)</v>
      </c>
      <c r="G458" s="23" t="s">
        <v>27</v>
      </c>
      <c r="H458" s="33"/>
    </row>
    <row r="459" ht="22.5" hidden="1" customHeight="1">
      <c r="A459" s="4" t="s">
        <v>30</v>
      </c>
      <c r="B459" s="4">
        <v>2023.0</v>
      </c>
      <c r="C459" s="4" t="s">
        <v>33</v>
      </c>
      <c r="D459" s="4" t="s">
        <v>678</v>
      </c>
      <c r="E459" s="4" t="str">
        <f>IFERROR(VLOOKUP(G459, 'Padronização'!A:C, 2, FALSE), "")</f>
        <v>⚠️</v>
      </c>
      <c r="F459" s="23" t="str">
        <f>IFERROR(VLOOKUP(G459, 'Padronização'!A:C, 3, FALSE), "")</f>
        <v>Emergência com evacuação específica</v>
      </c>
      <c r="G459" s="23" t="s">
        <v>57</v>
      </c>
      <c r="H459" s="33"/>
    </row>
    <row r="460" ht="22.5" customHeight="1">
      <c r="A460" s="4" t="s">
        <v>30</v>
      </c>
      <c r="B460" s="4">
        <v>2023.0</v>
      </c>
      <c r="C460" s="4" t="s">
        <v>33</v>
      </c>
      <c r="D460" s="4" t="s">
        <v>679</v>
      </c>
      <c r="E460" s="4" t="str">
        <f>IFERROR(VLOOKUP(G460, 'Padronização'!A:C, 2, FALSE), "")</f>
        <v>✅</v>
      </c>
      <c r="F460" s="23" t="str">
        <f>IFERROR(VLOOKUP(G460, 'Padronização'!A:C, 3, FALSE), "")</f>
        <v>ABM/MAS focado em comportamento humano cognitivo</v>
      </c>
      <c r="G460" s="23" t="s">
        <v>47</v>
      </c>
      <c r="H460" s="33"/>
    </row>
    <row r="461" ht="22.5" customHeight="1">
      <c r="A461" s="4" t="s">
        <v>30</v>
      </c>
      <c r="B461" s="4">
        <v>2023.0</v>
      </c>
      <c r="C461" s="4" t="s">
        <v>33</v>
      </c>
      <c r="D461" s="4" t="s">
        <v>487</v>
      </c>
      <c r="E461" s="4" t="str">
        <f>IFERROR(VLOOKUP(G461, 'Padronização'!A:C, 2, FALSE), "")</f>
        <v>✅</v>
      </c>
      <c r="F461" s="23" t="str">
        <f>IFERROR(VLOOKUP(G461, 'Padronização'!A:C, 3, FALSE), "")</f>
        <v>Resposta humana a alertas e decisões</v>
      </c>
      <c r="G461" s="23" t="s">
        <v>50</v>
      </c>
      <c r="H461" s="33"/>
    </row>
    <row r="462" ht="22.5" hidden="1" customHeight="1">
      <c r="A462" s="4" t="s">
        <v>30</v>
      </c>
      <c r="B462" s="4">
        <v>2023.0</v>
      </c>
      <c r="C462" s="4" t="s">
        <v>33</v>
      </c>
      <c r="D462" s="4" t="s">
        <v>681</v>
      </c>
      <c r="E462" s="4" t="str">
        <f>IFERROR(VLOOKUP(G462, 'Padronização'!A:C, 2, FALSE), "")</f>
        <v>❌</v>
      </c>
      <c r="F462" s="23" t="str">
        <f>IFERROR(VLOOKUP(G462, 'Padronização'!A:C, 3, FALSE), "")</f>
        <v>Telecomunicações emergenciais / alocação de rede; foco técnico</v>
      </c>
      <c r="G462" s="23" t="s">
        <v>5</v>
      </c>
      <c r="H462" s="33"/>
    </row>
    <row r="463" ht="22.5" customHeight="1">
      <c r="A463" s="4" t="s">
        <v>30</v>
      </c>
      <c r="B463" s="4">
        <v>2023.0</v>
      </c>
      <c r="C463" s="4" t="s">
        <v>33</v>
      </c>
      <c r="D463" s="4" t="s">
        <v>489</v>
      </c>
      <c r="E463" s="4" t="str">
        <f>IFERROR(VLOOKUP(G463, 'Padronização'!A:C, 2, FALSE), "")</f>
        <v>✅</v>
      </c>
      <c r="F463" s="23" t="str">
        <f>IFERROR(VLOOKUP(G463, 'Padronização'!A:C, 3, FALSE), "")</f>
        <v>ABM/MAS focado em comportamento humano cognitivo</v>
      </c>
      <c r="G463" s="23" t="s">
        <v>47</v>
      </c>
      <c r="H463" s="33"/>
    </row>
    <row r="464" ht="22.5" hidden="1" customHeight="1">
      <c r="A464" s="4" t="s">
        <v>30</v>
      </c>
      <c r="B464" s="4">
        <v>2023.0</v>
      </c>
      <c r="C464" s="4" t="s">
        <v>87</v>
      </c>
      <c r="D464" s="4" t="s">
        <v>683</v>
      </c>
      <c r="E464" s="4" t="str">
        <f>IFERROR(VLOOKUP(G464, 'Padronização'!A:C, 2, FALSE), "")</f>
        <v>❌</v>
      </c>
      <c r="F464" s="23" t="str">
        <f>IFERROR(VLOOKUP(G464, 'Padronização'!A:C, 3, FALSE), "")</f>
        <v>Energia, grid, V2G; crise tratada como operação técnica</v>
      </c>
      <c r="G464" s="23" t="s">
        <v>12</v>
      </c>
      <c r="H464" s="33"/>
    </row>
    <row r="465" ht="22.5" customHeight="1">
      <c r="A465" s="4" t="s">
        <v>30</v>
      </c>
      <c r="B465" s="4">
        <v>2023.0</v>
      </c>
      <c r="C465" s="4" t="s">
        <v>33</v>
      </c>
      <c r="D465" s="4" t="s">
        <v>491</v>
      </c>
      <c r="E465" s="4" t="str">
        <f>IFERROR(VLOOKUP(G465, 'Padronização'!A:C, 2, FALSE), "")</f>
        <v>✅</v>
      </c>
      <c r="F465" s="23" t="str">
        <f>IFERROR(VLOOKUP(G465, 'Padronização'!A:C, 3, FALSE), "")</f>
        <v>ABM/MAS aplicado à evacuação</v>
      </c>
      <c r="G465" s="23" t="s">
        <v>45</v>
      </c>
      <c r="H465" s="33"/>
    </row>
    <row r="466" ht="22.5" hidden="1" customHeight="1">
      <c r="A466" s="4" t="s">
        <v>30</v>
      </c>
      <c r="B466" s="4">
        <v>2023.0</v>
      </c>
      <c r="C466" s="4" t="s">
        <v>33</v>
      </c>
      <c r="D466" s="4" t="s">
        <v>688</v>
      </c>
      <c r="E466" s="4" t="str">
        <f>IFERROR(VLOOKUP(G466, 'Padronização'!A:C, 2, FALSE), "")</f>
        <v>❌</v>
      </c>
      <c r="F466" s="23" t="str">
        <f>IFERROR(VLOOKUP(G466, 'Padronização'!A:C, 3, FALSE), "")</f>
        <v>Não aborda cenário de crise ou desastre</v>
      </c>
      <c r="G466" s="23" t="s">
        <v>31</v>
      </c>
      <c r="H466" s="33"/>
    </row>
    <row r="467" ht="22.5" customHeight="1">
      <c r="A467" s="4" t="s">
        <v>30</v>
      </c>
      <c r="B467" s="4">
        <v>2023.0</v>
      </c>
      <c r="C467" s="4" t="s">
        <v>33</v>
      </c>
      <c r="D467" s="4" t="s">
        <v>689</v>
      </c>
      <c r="E467" s="4" t="str">
        <f>IFERROR(VLOOKUP(G467, 'Padronização'!A:C, 2, FALSE), "")</f>
        <v>✅</v>
      </c>
      <c r="F467" s="23" t="str">
        <f>IFERROR(VLOOKUP(G467, 'Padronização'!A:C, 3, FALSE), "")</f>
        <v>Grupos vulneráveis em cenários de crise</v>
      </c>
      <c r="G467" s="3" t="s">
        <v>54</v>
      </c>
      <c r="H467" s="33"/>
    </row>
    <row r="468" ht="22.5" hidden="1" customHeight="1">
      <c r="A468" s="4" t="s">
        <v>30</v>
      </c>
      <c r="B468" s="4">
        <v>2023.0</v>
      </c>
      <c r="C468" s="4" t="s">
        <v>33</v>
      </c>
      <c r="D468" s="4" t="s">
        <v>690</v>
      </c>
      <c r="E468" s="4" t="str">
        <f>IFERROR(VLOOKUP(G468, 'Padronização'!A:C, 2, FALSE), "")</f>
        <v>⚠️</v>
      </c>
      <c r="F468" s="23" t="str">
        <f>IFERROR(VLOOKUP(G468, 'Padronização'!A:C, 3, FALSE), "")</f>
        <v>Crise explícita com foco em infraestrutura</v>
      </c>
      <c r="G468" s="3" t="s">
        <v>40</v>
      </c>
      <c r="H468" s="33"/>
    </row>
    <row r="469" ht="22.5" hidden="1" customHeight="1">
      <c r="A469" s="4" t="s">
        <v>30</v>
      </c>
      <c r="B469" s="4">
        <v>2023.0</v>
      </c>
      <c r="C469" s="4" t="s">
        <v>33</v>
      </c>
      <c r="D469" s="4" t="s">
        <v>691</v>
      </c>
      <c r="E469" s="4" t="str">
        <f>IFERROR(VLOOKUP(G469, 'Padronização'!A:C, 2, FALSE), "")</f>
        <v>❌</v>
      </c>
      <c r="F469" s="23" t="str">
        <f>IFERROR(VLOOKUP(G469, 'Padronização'!A:C, 3, FALSE), "")</f>
        <v>Energia, grid, V2G; crise tratada como operação técnica</v>
      </c>
      <c r="G469" s="23" t="s">
        <v>12</v>
      </c>
      <c r="H469" s="33"/>
    </row>
    <row r="470" ht="22.5" customHeight="1">
      <c r="A470" s="4" t="s">
        <v>30</v>
      </c>
      <c r="B470" s="4">
        <v>2023.0</v>
      </c>
      <c r="C470" s="4" t="s">
        <v>33</v>
      </c>
      <c r="D470" s="4" t="s">
        <v>692</v>
      </c>
      <c r="E470" s="4" t="str">
        <f>IFERROR(VLOOKUP(G470, 'Padronização'!A:C, 2, FALSE), "")</f>
        <v>✅</v>
      </c>
      <c r="F470" s="23" t="str">
        <f>IFERROR(VLOOKUP(G470, 'Padronização'!A:C, 3, FALSE), "")</f>
        <v>Resposta humana a alertas e decisões</v>
      </c>
      <c r="G470" s="23" t="s">
        <v>50</v>
      </c>
      <c r="H470" s="33"/>
    </row>
    <row r="471" ht="22.5" hidden="1" customHeight="1">
      <c r="A471" s="4" t="s">
        <v>30</v>
      </c>
      <c r="B471" s="4">
        <v>2023.0</v>
      </c>
      <c r="C471" s="4" t="s">
        <v>33</v>
      </c>
      <c r="D471" s="4" t="s">
        <v>693</v>
      </c>
      <c r="E471" s="4" t="str">
        <f>IFERROR(VLOOKUP(G471, 'Padronização'!A:C, 2, FALSE), "")</f>
        <v>❌</v>
      </c>
      <c r="F471" s="23" t="str">
        <f>IFERROR(VLOOKUP(G471, 'Padronização'!A:C, 3, FALSE), "")</f>
        <v>Artigo metodológico genérico (framework, design, how-to)</v>
      </c>
      <c r="G471" s="23" t="s">
        <v>27</v>
      </c>
      <c r="H471" s="33"/>
    </row>
    <row r="472" ht="22.5" customHeight="1">
      <c r="A472" s="4" t="s">
        <v>30</v>
      </c>
      <c r="B472" s="4">
        <v>2023.0</v>
      </c>
      <c r="C472" s="4" t="s">
        <v>33</v>
      </c>
      <c r="D472" s="4" t="s">
        <v>500</v>
      </c>
      <c r="E472" s="4" t="str">
        <f>IFERROR(VLOOKUP(G472, 'Padronização'!A:C, 2, FALSE), "")</f>
        <v>✅</v>
      </c>
      <c r="F472" s="23" t="str">
        <f>IFERROR(VLOOKUP(G472, 'Padronização'!A:C, 3, FALSE), "")</f>
        <v>ABM/MAS aplicado à evacuação</v>
      </c>
      <c r="G472" s="23" t="s">
        <v>45</v>
      </c>
      <c r="H472" s="33"/>
    </row>
    <row r="473" ht="22.5" customHeight="1">
      <c r="A473" s="4" t="s">
        <v>30</v>
      </c>
      <c r="B473" s="4">
        <v>2023.0</v>
      </c>
      <c r="C473" s="4" t="s">
        <v>87</v>
      </c>
      <c r="D473" s="4" t="s">
        <v>694</v>
      </c>
      <c r="E473" s="4" t="str">
        <f>IFERROR(VLOOKUP(G473, 'Padronização'!A:C, 2, FALSE), "")</f>
        <v>✅</v>
      </c>
      <c r="F473" s="23" t="str">
        <f>IFERROR(VLOOKUP(G473, 'Padronização'!A:C, 3, FALSE), "")</f>
        <v>ABM/MAS aplicado à evacuação</v>
      </c>
      <c r="G473" s="3" t="s">
        <v>45</v>
      </c>
      <c r="H473" s="33"/>
    </row>
    <row r="474" ht="22.5" hidden="1" customHeight="1">
      <c r="A474" s="4" t="s">
        <v>30</v>
      </c>
      <c r="B474" s="4">
        <v>2023.0</v>
      </c>
      <c r="C474" s="4" t="s">
        <v>87</v>
      </c>
      <c r="D474" s="4" t="s">
        <v>695</v>
      </c>
      <c r="E474" s="4" t="str">
        <f>IFERROR(VLOOKUP(G474, 'Padronização'!A:C, 2, FALSE), "")</f>
        <v>⚠️</v>
      </c>
      <c r="F474" s="23" t="str">
        <f>IFERROR(VLOOKUP(G474, 'Padronização'!A:C, 3, FALSE), "")</f>
        <v>Emergência sem evacuação clara</v>
      </c>
      <c r="G474" s="3" t="s">
        <v>43</v>
      </c>
      <c r="H474" s="33"/>
    </row>
    <row r="475" ht="22.5" customHeight="1">
      <c r="A475" s="4" t="s">
        <v>30</v>
      </c>
      <c r="B475" s="4">
        <v>2023.0</v>
      </c>
      <c r="C475" s="4" t="s">
        <v>87</v>
      </c>
      <c r="D475" s="4" t="s">
        <v>696</v>
      </c>
      <c r="E475" s="4" t="str">
        <f>IFERROR(VLOOKUP(G475, 'Padronização'!A:C, 2, FALSE), "")</f>
        <v>✅</v>
      </c>
      <c r="F475" s="23" t="str">
        <f>IFERROR(VLOOKUP(G475, 'Padronização'!A:C, 3, FALSE), "")</f>
        <v>Resposta humana a alertas e decisões</v>
      </c>
      <c r="G475" s="23" t="s">
        <v>50</v>
      </c>
      <c r="H475" s="33"/>
    </row>
    <row r="476" ht="22.5" customHeight="1">
      <c r="A476" s="4" t="s">
        <v>30</v>
      </c>
      <c r="B476" s="4">
        <v>2023.0</v>
      </c>
      <c r="C476" s="4" t="s">
        <v>87</v>
      </c>
      <c r="D476" s="4" t="s">
        <v>510</v>
      </c>
      <c r="E476" s="4" t="str">
        <f>IFERROR(VLOOKUP(G476, 'Padronização'!A:C, 2, FALSE), "")</f>
        <v>✅</v>
      </c>
      <c r="F476" s="23" t="str">
        <f>IFERROR(VLOOKUP(G476, 'Padronização'!A:C, 3, FALSE), "")</f>
        <v>ABM/MAS aplicado à evacuação</v>
      </c>
      <c r="G476" s="3" t="s">
        <v>45</v>
      </c>
      <c r="H476" s="33"/>
    </row>
    <row r="477" ht="22.5" hidden="1" customHeight="1">
      <c r="A477" s="4" t="s">
        <v>30</v>
      </c>
      <c r="B477" s="4">
        <v>2023.0</v>
      </c>
      <c r="C477" s="4" t="s">
        <v>87</v>
      </c>
      <c r="D477" s="4" t="s">
        <v>697</v>
      </c>
      <c r="E477" s="4" t="str">
        <f>IFERROR(VLOOKUP(G477, 'Padronização'!A:C, 2, FALSE), "")</f>
        <v>⚠️</v>
      </c>
      <c r="F477" s="23" t="str">
        <f>IFERROR(VLOOKUP(G477, 'Padronização'!A:C, 3, FALSE), "")</f>
        <v>Emergência com evacuação específica</v>
      </c>
      <c r="G477" s="23" t="s">
        <v>57</v>
      </c>
      <c r="H477" s="33"/>
    </row>
    <row r="478" ht="22.5" customHeight="1">
      <c r="A478" s="4" t="s">
        <v>30</v>
      </c>
      <c r="B478" s="4">
        <v>2023.0</v>
      </c>
      <c r="C478" s="4" t="s">
        <v>87</v>
      </c>
      <c r="D478" s="4" t="s">
        <v>698</v>
      </c>
      <c r="E478" s="4" t="str">
        <f>IFERROR(VLOOKUP(G478, 'Padronização'!A:C, 2, FALSE), "")</f>
        <v>✅</v>
      </c>
      <c r="F478" s="23" t="str">
        <f>IFERROR(VLOOKUP(G478, 'Padronização'!A:C, 3, FALSE), "")</f>
        <v>ABM/MAS aplicado à evacuação</v>
      </c>
      <c r="G478" s="23" t="s">
        <v>45</v>
      </c>
      <c r="H478" s="33"/>
    </row>
    <row r="479" ht="22.5" hidden="1" customHeight="1">
      <c r="A479" s="4" t="s">
        <v>30</v>
      </c>
      <c r="B479" s="4">
        <v>2023.0</v>
      </c>
      <c r="C479" s="4" t="s">
        <v>33</v>
      </c>
      <c r="D479" s="4" t="s">
        <v>700</v>
      </c>
      <c r="E479" s="4" t="str">
        <f>IFERROR(VLOOKUP(G479, 'Padronização'!A:C, 2, FALSE), "")</f>
        <v>❌</v>
      </c>
      <c r="F479" s="23" t="str">
        <f>IFERROR(VLOOKUP(G479, 'Padronização'!A:C, 3, FALSE), "")</f>
        <v>Transporte / tráfego em operação normal</v>
      </c>
      <c r="G479" s="23" t="s">
        <v>19</v>
      </c>
      <c r="H479" s="33"/>
    </row>
    <row r="480" ht="22.5" customHeight="1">
      <c r="A480" s="4" t="s">
        <v>30</v>
      </c>
      <c r="B480" s="4">
        <v>2023.0</v>
      </c>
      <c r="C480" s="4" t="s">
        <v>33</v>
      </c>
      <c r="D480" s="4" t="s">
        <v>701</v>
      </c>
      <c r="E480" s="4" t="str">
        <f>IFERROR(VLOOKUP(G480, 'Padronização'!A:C, 2, FALSE), "")</f>
        <v>✅</v>
      </c>
      <c r="F480" s="23" t="str">
        <f>IFERROR(VLOOKUP(G480, 'Padronização'!A:C, 3, FALSE), "")</f>
        <v>ABM/MAS aplicado à evacuação</v>
      </c>
      <c r="G480" s="23" t="s">
        <v>45</v>
      </c>
      <c r="H480" s="33"/>
    </row>
    <row r="481" ht="22.5" hidden="1" customHeight="1">
      <c r="A481" s="4" t="s">
        <v>30</v>
      </c>
      <c r="B481" s="4">
        <v>2023.0</v>
      </c>
      <c r="C481" s="4" t="s">
        <v>87</v>
      </c>
      <c r="D481" s="4" t="s">
        <v>702</v>
      </c>
      <c r="E481" s="4" t="str">
        <f>IFERROR(VLOOKUP(G481, 'Padronização'!A:C, 2, FALSE), "")</f>
        <v>⚠️</v>
      </c>
      <c r="F481" s="23" t="str">
        <f>IFERROR(VLOOKUP(G481, 'Padronização'!A:C, 3, FALSE), "")</f>
        <v>Emergência sem evacuação clara</v>
      </c>
      <c r="G481" s="3" t="s">
        <v>43</v>
      </c>
      <c r="H481" s="33"/>
    </row>
    <row r="482" ht="22.5" hidden="1" customHeight="1">
      <c r="A482" s="4" t="s">
        <v>30</v>
      </c>
      <c r="B482" s="4">
        <v>2023.0</v>
      </c>
      <c r="C482" s="4" t="s">
        <v>87</v>
      </c>
      <c r="D482" s="4" t="s">
        <v>704</v>
      </c>
      <c r="E482" s="4" t="str">
        <f>IFERROR(VLOOKUP(G482, 'Padronização'!A:C, 2, FALSE), "")</f>
        <v>⚠️</v>
      </c>
      <c r="F482" s="23" t="str">
        <f>IFERROR(VLOOKUP(G482, 'Padronização'!A:C, 3, FALSE), "")</f>
        <v>Emergência com evacuação específica</v>
      </c>
      <c r="G482" s="3" t="s">
        <v>57</v>
      </c>
      <c r="H482" s="33"/>
    </row>
    <row r="483" ht="22.5" hidden="1" customHeight="1">
      <c r="A483" s="4" t="s">
        <v>30</v>
      </c>
      <c r="B483" s="4">
        <v>2023.0</v>
      </c>
      <c r="C483" s="4" t="s">
        <v>33</v>
      </c>
      <c r="D483" s="4" t="s">
        <v>705</v>
      </c>
      <c r="E483" s="4" t="str">
        <f>IFERROR(VLOOKUP(G483, 'Padronização'!A:C, 2, FALSE), "")</f>
        <v>❌</v>
      </c>
      <c r="F483" s="23" t="str">
        <f>IFERROR(VLOOKUP(G483, 'Padronização'!A:C, 3, FALSE), "")</f>
        <v>Artigo metodológico genérico (framework, design, how-to)</v>
      </c>
      <c r="G483" s="3" t="s">
        <v>27</v>
      </c>
      <c r="H483" s="33"/>
    </row>
    <row r="484" ht="22.5" customHeight="1">
      <c r="A484" s="4" t="s">
        <v>30</v>
      </c>
      <c r="B484" s="4">
        <v>2023.0</v>
      </c>
      <c r="C484" s="4" t="s">
        <v>87</v>
      </c>
      <c r="D484" s="4" t="s">
        <v>518</v>
      </c>
      <c r="E484" s="4" t="str">
        <f>IFERROR(VLOOKUP(G484, 'Padronização'!A:C, 2, FALSE), "")</f>
        <v>✅</v>
      </c>
      <c r="F484" s="23" t="str">
        <f>IFERROR(VLOOKUP(G484, 'Padronização'!A:C, 3, FALSE), "")</f>
        <v>ABM/MAS aplicado à evacuação</v>
      </c>
      <c r="G484" s="23" t="s">
        <v>45</v>
      </c>
      <c r="H484" s="33"/>
    </row>
    <row r="485" ht="22.5" customHeight="1">
      <c r="A485" s="4" t="s">
        <v>30</v>
      </c>
      <c r="B485" s="4">
        <v>2023.0</v>
      </c>
      <c r="C485" s="4" t="s">
        <v>87</v>
      </c>
      <c r="D485" s="4" t="s">
        <v>707</v>
      </c>
      <c r="E485" s="4" t="str">
        <f>IFERROR(VLOOKUP(G485, 'Padronização'!A:C, 2, FALSE), "")</f>
        <v>✅</v>
      </c>
      <c r="F485" s="23" t="str">
        <f>IFERROR(VLOOKUP(G485, 'Padronização'!A:C, 3, FALSE), "")</f>
        <v>ABM/MAS aplicado à evacuação</v>
      </c>
      <c r="G485" s="23" t="s">
        <v>45</v>
      </c>
      <c r="H485" s="33"/>
    </row>
    <row r="486" ht="22.5" customHeight="1">
      <c r="A486" s="4" t="s">
        <v>30</v>
      </c>
      <c r="B486" s="4">
        <v>2023.0</v>
      </c>
      <c r="C486" s="4" t="s">
        <v>87</v>
      </c>
      <c r="D486" s="4" t="s">
        <v>526</v>
      </c>
      <c r="E486" s="4" t="str">
        <f>IFERROR(VLOOKUP(G486, 'Padronização'!A:C, 2, FALSE), "")</f>
        <v>✅</v>
      </c>
      <c r="F486" s="23" t="str">
        <f>IFERROR(VLOOKUP(G486, 'Padronização'!A:C, 3, FALSE), "")</f>
        <v>ABM/MAS focado em comportamento humano cognitivo</v>
      </c>
      <c r="G486" s="3" t="s">
        <v>47</v>
      </c>
      <c r="H486" s="33"/>
    </row>
    <row r="487" ht="22.5" customHeight="1">
      <c r="A487" s="4" t="s">
        <v>30</v>
      </c>
      <c r="B487" s="4">
        <v>2023.0</v>
      </c>
      <c r="C487" s="4" t="s">
        <v>87</v>
      </c>
      <c r="D487" s="4" t="s">
        <v>530</v>
      </c>
      <c r="E487" s="4" t="str">
        <f>IFERROR(VLOOKUP(G487, 'Padronização'!A:C, 2, FALSE), "")</f>
        <v>✅</v>
      </c>
      <c r="F487" s="23" t="str">
        <f>IFERROR(VLOOKUP(G487, 'Padronização'!A:C, 3, FALSE), "")</f>
        <v>ABM/MAS focado em comportamento humano cognitivo</v>
      </c>
      <c r="G487" s="23" t="s">
        <v>47</v>
      </c>
      <c r="H487" s="33"/>
    </row>
    <row r="488" ht="22.5" customHeight="1">
      <c r="A488" s="4" t="s">
        <v>30</v>
      </c>
      <c r="B488" s="4">
        <v>2023.0</v>
      </c>
      <c r="C488" s="4" t="s">
        <v>87</v>
      </c>
      <c r="D488" s="4" t="s">
        <v>532</v>
      </c>
      <c r="E488" s="4" t="str">
        <f>IFERROR(VLOOKUP(G488, 'Padronização'!A:C, 2, FALSE), "")</f>
        <v>✅</v>
      </c>
      <c r="F488" s="23" t="str">
        <f>IFERROR(VLOOKUP(G488, 'Padronização'!A:C, 3, FALSE), "")</f>
        <v>ABM/MAS focado em comportamento humano cognitivo</v>
      </c>
      <c r="G488" s="3" t="s">
        <v>47</v>
      </c>
      <c r="H488" s="33"/>
    </row>
    <row r="489" ht="22.5" hidden="1" customHeight="1">
      <c r="A489" s="4" t="s">
        <v>30</v>
      </c>
      <c r="B489" s="4">
        <v>2023.0</v>
      </c>
      <c r="C489" s="4" t="s">
        <v>87</v>
      </c>
      <c r="D489" s="4" t="s">
        <v>710</v>
      </c>
      <c r="E489" s="4" t="str">
        <f>IFERROR(VLOOKUP(G489, 'Padronização'!A:C, 2, FALSE), "")</f>
        <v>⚠️</v>
      </c>
      <c r="F489" s="23" t="str">
        <f>IFERROR(VLOOKUP(G489, 'Padronização'!A:C, 3, FALSE), "")</f>
        <v>Crise explícita com foco em infraestrutura</v>
      </c>
      <c r="G489" s="23" t="s">
        <v>40</v>
      </c>
      <c r="H489" s="33"/>
    </row>
    <row r="490" ht="22.5" hidden="1" customHeight="1">
      <c r="A490" s="4" t="s">
        <v>30</v>
      </c>
      <c r="B490" s="4">
        <v>2023.0</v>
      </c>
      <c r="C490" s="4" t="s">
        <v>87</v>
      </c>
      <c r="D490" s="4" t="s">
        <v>712</v>
      </c>
      <c r="E490" s="4" t="str">
        <f>IFERROR(VLOOKUP(G490, 'Padronização'!A:C, 2, FALSE), "")</f>
        <v>❌</v>
      </c>
      <c r="F490" s="23" t="str">
        <f>IFERROR(VLOOKUP(G490, 'Padronização'!A:C, 3, FALSE), "")</f>
        <v>Emergência em saúde com foco operacional / Operação hospitalar</v>
      </c>
      <c r="G490" s="23" t="s">
        <v>38</v>
      </c>
      <c r="H490" s="33"/>
    </row>
    <row r="491" ht="22.5" hidden="1" customHeight="1">
      <c r="A491" s="4" t="s">
        <v>30</v>
      </c>
      <c r="B491" s="4">
        <v>2023.0</v>
      </c>
      <c r="C491" s="4" t="s">
        <v>87</v>
      </c>
      <c r="D491" s="4" t="s">
        <v>714</v>
      </c>
      <c r="E491" s="4" t="str">
        <f>IFERROR(VLOOKUP(G491, 'Padronização'!A:C, 2, FALSE), "")</f>
        <v>❌</v>
      </c>
      <c r="F491" s="23" t="str">
        <f>IFERROR(VLOOKUP(G491, 'Padronização'!A:C, 3, FALSE), "")</f>
        <v>Artigo metodológico genérico (framework, design, how-to)</v>
      </c>
      <c r="G491" s="23" t="s">
        <v>27</v>
      </c>
      <c r="H491" s="33"/>
    </row>
    <row r="492" ht="22.5" customHeight="1">
      <c r="A492" s="4" t="s">
        <v>30</v>
      </c>
      <c r="B492" s="4">
        <v>2023.0</v>
      </c>
      <c r="C492" s="4" t="s">
        <v>87</v>
      </c>
      <c r="D492" s="4" t="s">
        <v>536</v>
      </c>
      <c r="E492" s="4" t="str">
        <f>IFERROR(VLOOKUP(G492, 'Padronização'!A:C, 2, FALSE), "")</f>
        <v>✅</v>
      </c>
      <c r="F492" s="23" t="str">
        <f>IFERROR(VLOOKUP(G492, 'Padronização'!A:C, 3, FALSE), "")</f>
        <v>Resposta humana a alertas e decisões</v>
      </c>
      <c r="G492" s="23" t="s">
        <v>50</v>
      </c>
      <c r="H492" s="33"/>
    </row>
    <row r="493" ht="22.5" hidden="1" customHeight="1">
      <c r="A493" s="4" t="s">
        <v>30</v>
      </c>
      <c r="B493" s="4">
        <v>2023.0</v>
      </c>
      <c r="C493" s="4" t="s">
        <v>87</v>
      </c>
      <c r="D493" s="4" t="s">
        <v>717</v>
      </c>
      <c r="E493" s="4" t="str">
        <f>IFERROR(VLOOKUP(G493, 'Padronização'!A:C, 2, FALSE), "")</f>
        <v>❌</v>
      </c>
      <c r="F493" s="23" t="str">
        <f>IFERROR(VLOOKUP(G493, 'Padronização'!A:C, 3, FALSE), "")</f>
        <v>Energia, grid, V2G; crise tratada como operação técnica</v>
      </c>
      <c r="G493" s="23" t="s">
        <v>12</v>
      </c>
      <c r="H493" s="33"/>
    </row>
    <row r="494" ht="22.5" customHeight="1">
      <c r="A494" s="4" t="s">
        <v>30</v>
      </c>
      <c r="B494" s="4">
        <v>2023.0</v>
      </c>
      <c r="C494" s="4" t="s">
        <v>87</v>
      </c>
      <c r="D494" s="4" t="s">
        <v>539</v>
      </c>
      <c r="E494" s="4" t="str">
        <f>IFERROR(VLOOKUP(G494, 'Padronização'!A:C, 2, FALSE), "")</f>
        <v>✅</v>
      </c>
      <c r="F494" s="23" t="str">
        <f>IFERROR(VLOOKUP(G494, 'Padronização'!A:C, 3, FALSE), "")</f>
        <v>ABM/MAS aplicado à evacuação</v>
      </c>
      <c r="G494" s="23" t="s">
        <v>45</v>
      </c>
      <c r="H494" s="33"/>
    </row>
    <row r="495" ht="22.5" hidden="1" customHeight="1">
      <c r="A495" s="4" t="s">
        <v>30</v>
      </c>
      <c r="B495" s="4">
        <v>2023.0</v>
      </c>
      <c r="C495" s="4" t="s">
        <v>87</v>
      </c>
      <c r="D495" s="4" t="s">
        <v>720</v>
      </c>
      <c r="E495" s="4" t="str">
        <f>IFERROR(VLOOKUP(G495, 'Padronização'!A:C, 2, FALSE), "")</f>
        <v>❌</v>
      </c>
      <c r="F495" s="23" t="str">
        <f>IFERROR(VLOOKUP(G495, 'Padronização'!A:C, 3, FALSE), "")</f>
        <v>Não aborda cenário de crise ou desastre</v>
      </c>
      <c r="G495" s="23" t="s">
        <v>31</v>
      </c>
      <c r="H495" s="33"/>
    </row>
    <row r="496" ht="22.5" customHeight="1">
      <c r="A496" s="4" t="s">
        <v>30</v>
      </c>
      <c r="B496" s="4">
        <v>2023.0</v>
      </c>
      <c r="C496" s="4" t="s">
        <v>87</v>
      </c>
      <c r="D496" s="4" t="s">
        <v>541</v>
      </c>
      <c r="E496" s="4" t="str">
        <f>IFERROR(VLOOKUP(G496, 'Padronização'!A:C, 2, FALSE), "")</f>
        <v>✅</v>
      </c>
      <c r="F496" s="23" t="str">
        <f>IFERROR(VLOOKUP(G496, 'Padronização'!A:C, 3, FALSE), "")</f>
        <v>ABM/MAS aplicado à evacuação</v>
      </c>
      <c r="G496" s="23" t="s">
        <v>45</v>
      </c>
      <c r="H496" s="33"/>
    </row>
    <row r="497" ht="22.5" hidden="1" customHeight="1">
      <c r="A497" s="4" t="s">
        <v>30</v>
      </c>
      <c r="B497" s="4">
        <v>2023.0</v>
      </c>
      <c r="C497" s="4" t="s">
        <v>87</v>
      </c>
      <c r="D497" s="4" t="s">
        <v>722</v>
      </c>
      <c r="E497" s="4" t="str">
        <f>IFERROR(VLOOKUP(G497, 'Padronização'!A:C, 2, FALSE), "")</f>
        <v>❌</v>
      </c>
      <c r="F497" s="23" t="str">
        <f>IFERROR(VLOOKUP(G497, 'Padronização'!A:C, 3, FALSE), "")</f>
        <v>Emergência em saúde com foco operacional / Operação hospitalar</v>
      </c>
      <c r="G497" s="23" t="s">
        <v>38</v>
      </c>
      <c r="H497" s="33"/>
    </row>
    <row r="498" ht="22.5" hidden="1" customHeight="1">
      <c r="A498" s="4" t="s">
        <v>30</v>
      </c>
      <c r="B498" s="4">
        <v>2023.0</v>
      </c>
      <c r="C498" s="4" t="s">
        <v>87</v>
      </c>
      <c r="D498" s="4" t="s">
        <v>724</v>
      </c>
      <c r="E498" s="4" t="str">
        <f>IFERROR(VLOOKUP(G498, 'Padronização'!A:C, 2, FALSE), "")</f>
        <v>❌</v>
      </c>
      <c r="F498" s="23" t="str">
        <f>IFERROR(VLOOKUP(G498, 'Padronização'!A:C, 3, FALSE), "")</f>
        <v>Energia, grid, V2G; crise tratada como operação técnica</v>
      </c>
      <c r="G498" s="23" t="s">
        <v>12</v>
      </c>
      <c r="H498" s="33"/>
    </row>
    <row r="499" ht="22.5" hidden="1" customHeight="1">
      <c r="A499" s="4" t="s">
        <v>30</v>
      </c>
      <c r="B499" s="4">
        <v>2023.0</v>
      </c>
      <c r="C499" s="4" t="s">
        <v>87</v>
      </c>
      <c r="D499" s="4" t="s">
        <v>726</v>
      </c>
      <c r="E499" s="4" t="str">
        <f>IFERROR(VLOOKUP(G499, 'Padronização'!A:C, 2, FALSE), "")</f>
        <v>❌</v>
      </c>
      <c r="F499" s="23" t="str">
        <f>IFERROR(VLOOKUP(G499, 'Padronização'!A:C, 3, FALSE), "")</f>
        <v>Emergência em saúde com foco operacional / Operação hospitalar</v>
      </c>
      <c r="G499" s="23" t="s">
        <v>38</v>
      </c>
      <c r="H499" s="23" t="s">
        <v>302</v>
      </c>
    </row>
    <row r="500" ht="22.5" hidden="1" customHeight="1">
      <c r="A500" s="4" t="s">
        <v>30</v>
      </c>
      <c r="B500" s="4">
        <v>2023.0</v>
      </c>
      <c r="C500" s="4" t="s">
        <v>87</v>
      </c>
      <c r="D500" s="4" t="s">
        <v>727</v>
      </c>
      <c r="E500" s="4" t="str">
        <f>IFERROR(VLOOKUP(G500, 'Padronização'!A:C, 2, FALSE), "")</f>
        <v>⚠️</v>
      </c>
      <c r="F500" s="23" t="str">
        <f>IFERROR(VLOOKUP(G500, 'Padronização'!A:C, 3, FALSE), "")</f>
        <v>Crise explícita com foco em infraestrutura</v>
      </c>
      <c r="G500" s="23" t="s">
        <v>40</v>
      </c>
      <c r="H500" s="33"/>
    </row>
    <row r="501" ht="22.5" hidden="1" customHeight="1">
      <c r="A501" s="4" t="s">
        <v>30</v>
      </c>
      <c r="B501" s="4">
        <v>2023.0</v>
      </c>
      <c r="C501" s="4" t="s">
        <v>87</v>
      </c>
      <c r="D501" s="4" t="s">
        <v>729</v>
      </c>
      <c r="E501" s="4" t="str">
        <f>IFERROR(VLOOKUP(G501, 'Padronização'!A:C, 2, FALSE), "")</f>
        <v>❌</v>
      </c>
      <c r="F501" s="23" t="str">
        <f>IFERROR(VLOOKUP(G501, 'Padronização'!A:C, 3, FALSE), "")</f>
        <v>Artigo metodológico genérico (framework, design, how-to)</v>
      </c>
      <c r="G501" s="23" t="s">
        <v>27</v>
      </c>
      <c r="H501" s="33"/>
    </row>
    <row r="502" ht="22.5" hidden="1" customHeight="1">
      <c r="A502" s="4" t="s">
        <v>30</v>
      </c>
      <c r="B502" s="4">
        <v>2023.0</v>
      </c>
      <c r="C502" s="4" t="s">
        <v>87</v>
      </c>
      <c r="D502" s="4" t="s">
        <v>731</v>
      </c>
      <c r="E502" s="4" t="str">
        <f>IFERROR(VLOOKUP(G502, 'Padronização'!A:C, 2, FALSE), "")</f>
        <v>❌</v>
      </c>
      <c r="F502" s="23" t="str">
        <f>IFERROR(VLOOKUP(G502, 'Padronização'!A:C, 3, FALSE), "")</f>
        <v>Telecomunicações emergenciais / alocação de rede; foco técnico</v>
      </c>
      <c r="G502" s="23" t="s">
        <v>5</v>
      </c>
      <c r="H502" s="33"/>
    </row>
    <row r="503" ht="22.5" hidden="1" customHeight="1">
      <c r="A503" s="4" t="s">
        <v>30</v>
      </c>
      <c r="B503" s="4">
        <v>2023.0</v>
      </c>
      <c r="C503" s="4" t="s">
        <v>87</v>
      </c>
      <c r="D503" s="4" t="s">
        <v>733</v>
      </c>
      <c r="E503" s="4" t="str">
        <f>IFERROR(VLOOKUP(G503, 'Padronização'!A:C, 2, FALSE), "")</f>
        <v>⚠️</v>
      </c>
      <c r="F503" s="23" t="str">
        <f>IFERROR(VLOOKUP(G503, 'Padronização'!A:C, 3, FALSE), "")</f>
        <v>Crise explícita com foco em infraestrutura</v>
      </c>
      <c r="G503" s="23" t="s">
        <v>40</v>
      </c>
      <c r="H503" s="33"/>
    </row>
    <row r="504" ht="22.5" hidden="1" customHeight="1">
      <c r="A504" s="4" t="s">
        <v>30</v>
      </c>
      <c r="B504" s="4">
        <v>2023.0</v>
      </c>
      <c r="C504" s="4" t="s">
        <v>87</v>
      </c>
      <c r="D504" s="4" t="s">
        <v>735</v>
      </c>
      <c r="E504" s="4" t="str">
        <f>IFERROR(VLOOKUP(G504, 'Padronização'!A:C, 2, FALSE), "")</f>
        <v>⚠️</v>
      </c>
      <c r="F504" s="23" t="str">
        <f>IFERROR(VLOOKUP(G504, 'Padronização'!A:C, 3, FALSE), "")</f>
        <v>Crise explícita com foco em infraestrutura</v>
      </c>
      <c r="G504" s="23" t="s">
        <v>40</v>
      </c>
      <c r="H504" s="33"/>
    </row>
    <row r="505" ht="22.5" hidden="1" customHeight="1">
      <c r="A505" s="4" t="s">
        <v>30</v>
      </c>
      <c r="B505" s="4">
        <v>2023.0</v>
      </c>
      <c r="C505" s="4" t="s">
        <v>87</v>
      </c>
      <c r="D505" s="4" t="s">
        <v>739</v>
      </c>
      <c r="E505" s="4" t="str">
        <f>IFERROR(VLOOKUP(G505, 'Padronização'!A:C, 2, FALSE), "")</f>
        <v>❌</v>
      </c>
      <c r="F505" s="23" t="str">
        <f>IFERROR(VLOOKUP(G505, 'Padronização'!A:C, 3, FALSE), "")</f>
        <v>Telecomunicações emergenciais / alocação de rede; foco técnico</v>
      </c>
      <c r="G505" s="23" t="s">
        <v>5</v>
      </c>
      <c r="H505" s="33"/>
    </row>
    <row r="506" ht="22.5" hidden="1" customHeight="1">
      <c r="A506" s="4" t="s">
        <v>30</v>
      </c>
      <c r="B506" s="4">
        <v>2023.0</v>
      </c>
      <c r="C506" s="4" t="s">
        <v>87</v>
      </c>
      <c r="D506" s="4" t="s">
        <v>741</v>
      </c>
      <c r="E506" s="4" t="str">
        <f>IFERROR(VLOOKUP(G506, 'Padronização'!A:C, 2, FALSE), "")</f>
        <v>❌</v>
      </c>
      <c r="F506" s="23" t="str">
        <f>IFERROR(VLOOKUP(G506, 'Padronização'!A:C, 3, FALSE), "")</f>
        <v>Artigo metodológico genérico (framework, design, how-to)</v>
      </c>
      <c r="G506" s="23" t="s">
        <v>27</v>
      </c>
      <c r="H506" s="33"/>
    </row>
    <row r="507" ht="22.5" hidden="1" customHeight="1">
      <c r="A507" s="4" t="s">
        <v>30</v>
      </c>
      <c r="B507" s="4">
        <v>2023.0</v>
      </c>
      <c r="C507" s="4" t="s">
        <v>87</v>
      </c>
      <c r="D507" s="4" t="s">
        <v>743</v>
      </c>
      <c r="E507" s="4" t="str">
        <f>IFERROR(VLOOKUP(G507, 'Padronização'!A:C, 2, FALSE), "")</f>
        <v>❌</v>
      </c>
      <c r="F507" s="23" t="str">
        <f>IFERROR(VLOOKUP(G507, 'Padronização'!A:C, 3, FALSE), "")</f>
        <v>Emergência em saúde com foco operacional / Operação hospitalar</v>
      </c>
      <c r="G507" s="23" t="s">
        <v>38</v>
      </c>
      <c r="H507" s="33"/>
    </row>
    <row r="508" ht="22.5" hidden="1" customHeight="1">
      <c r="A508" s="4" t="s">
        <v>30</v>
      </c>
      <c r="B508" s="4">
        <v>2023.0</v>
      </c>
      <c r="C508" s="4" t="s">
        <v>87</v>
      </c>
      <c r="D508" s="4" t="s">
        <v>744</v>
      </c>
      <c r="E508" s="4" t="str">
        <f>IFERROR(VLOOKUP(G508, 'Padronização'!A:C, 2, FALSE), "")</f>
        <v>❌</v>
      </c>
      <c r="F508" s="23" t="str">
        <f>IFERROR(VLOOKUP(G508, 'Padronização'!A:C, 3, FALSE), "")</f>
        <v>Emergência em saúde com foco operacional / Operação hospitalar</v>
      </c>
      <c r="G508" s="23" t="s">
        <v>38</v>
      </c>
      <c r="H508" s="33"/>
    </row>
    <row r="509" ht="22.5" hidden="1" customHeight="1">
      <c r="A509" s="4" t="s">
        <v>30</v>
      </c>
      <c r="B509" s="4">
        <v>2023.0</v>
      </c>
      <c r="C509" s="4" t="s">
        <v>33</v>
      </c>
      <c r="D509" s="4" t="s">
        <v>746</v>
      </c>
      <c r="E509" s="4" t="str">
        <f>IFERROR(VLOOKUP(G509, 'Padronização'!A:C, 2, FALSE), "")</f>
        <v>❌</v>
      </c>
      <c r="F509" s="23" t="str">
        <f>IFERROR(VLOOKUP(G509, 'Padronização'!A:C, 3, FALSE), "")</f>
        <v>Não aborda cenário de crise ou desastre</v>
      </c>
      <c r="G509" s="23" t="s">
        <v>31</v>
      </c>
      <c r="H509" s="33"/>
    </row>
    <row r="510" ht="22.5" hidden="1" customHeight="1">
      <c r="A510" s="4" t="s">
        <v>30</v>
      </c>
      <c r="B510" s="4">
        <v>2023.0</v>
      </c>
      <c r="C510" s="4" t="s">
        <v>87</v>
      </c>
      <c r="D510" s="4" t="s">
        <v>747</v>
      </c>
      <c r="E510" s="4" t="str">
        <f>IFERROR(VLOOKUP(G510, 'Padronização'!A:C, 2, FALSE), "")</f>
        <v>⚠️</v>
      </c>
      <c r="F510" s="23" t="str">
        <f>IFERROR(VLOOKUP(G510, 'Padronização'!A:C, 3, FALSE), "")</f>
        <v>Emergência sem evacuação clara</v>
      </c>
      <c r="G510" s="23" t="s">
        <v>43</v>
      </c>
      <c r="H510" s="33"/>
    </row>
    <row r="511" ht="22.5" hidden="1" customHeight="1">
      <c r="A511" s="4" t="s">
        <v>30</v>
      </c>
      <c r="B511" s="4">
        <v>2023.0</v>
      </c>
      <c r="C511" s="4" t="s">
        <v>33</v>
      </c>
      <c r="D511" s="4" t="s">
        <v>749</v>
      </c>
      <c r="E511" s="4" t="str">
        <f>IFERROR(VLOOKUP(G511, 'Padronização'!A:C, 2, FALSE), "")</f>
        <v>❌</v>
      </c>
      <c r="F511" s="23" t="str">
        <f>IFERROR(VLOOKUP(G511, 'Padronização'!A:C, 3, FALSE), "")</f>
        <v>Não aborda cenário de crise ou desastre</v>
      </c>
      <c r="G511" s="23" t="s">
        <v>31</v>
      </c>
      <c r="H511" s="33"/>
    </row>
    <row r="512" ht="22.5" hidden="1" customHeight="1">
      <c r="A512" s="4" t="s">
        <v>30</v>
      </c>
      <c r="B512" s="4">
        <v>2023.0</v>
      </c>
      <c r="C512" s="4" t="s">
        <v>87</v>
      </c>
      <c r="D512" s="4" t="s">
        <v>750</v>
      </c>
      <c r="E512" s="4" t="str">
        <f>IFERROR(VLOOKUP(G512, 'Padronização'!A:C, 2, FALSE), "")</f>
        <v>❌</v>
      </c>
      <c r="F512" s="23" t="str">
        <f>IFERROR(VLOOKUP(G512, 'Padronização'!A:C, 3, FALSE), "")</f>
        <v>Telecomunicações emergenciais / alocação de rede; foco técnico</v>
      </c>
      <c r="G512" s="23" t="s">
        <v>5</v>
      </c>
      <c r="H512" s="33"/>
    </row>
    <row r="513" ht="22.5" hidden="1" customHeight="1">
      <c r="A513" s="4" t="s">
        <v>30</v>
      </c>
      <c r="B513" s="4">
        <v>2023.0</v>
      </c>
      <c r="C513" s="4" t="s">
        <v>87</v>
      </c>
      <c r="D513" s="4" t="s">
        <v>751</v>
      </c>
      <c r="E513" s="4" t="str">
        <f>IFERROR(VLOOKUP(G513, 'Padronização'!A:C, 2, FALSE), "")</f>
        <v>❌</v>
      </c>
      <c r="F513" s="23" t="str">
        <f>IFERROR(VLOOKUP(G513, 'Padronização'!A:C, 3, FALSE), "")</f>
        <v>Telecomunicações emergenciais / alocação de rede; foco técnico</v>
      </c>
      <c r="G513" s="23" t="s">
        <v>5</v>
      </c>
      <c r="H513" s="33"/>
    </row>
    <row r="514" ht="22.5" hidden="1" customHeight="1">
      <c r="A514" s="4" t="s">
        <v>30</v>
      </c>
      <c r="B514" s="4">
        <v>2023.0</v>
      </c>
      <c r="C514" s="4" t="s">
        <v>33</v>
      </c>
      <c r="D514" s="4" t="s">
        <v>753</v>
      </c>
      <c r="E514" s="4" t="str">
        <f>IFERROR(VLOOKUP(G514, 'Padronização'!A:C, 2, FALSE), "")</f>
        <v>❌</v>
      </c>
      <c r="F514" s="23" t="str">
        <f>IFERROR(VLOOKUP(G514, 'Padronização'!A:C, 3, FALSE), "")</f>
        <v>Transporte / tráfego em operação normal</v>
      </c>
      <c r="G514" s="23" t="s">
        <v>19</v>
      </c>
      <c r="H514" s="33"/>
    </row>
    <row r="515" ht="22.5" hidden="1" customHeight="1">
      <c r="A515" s="4" t="s">
        <v>30</v>
      </c>
      <c r="B515" s="4">
        <v>2023.0</v>
      </c>
      <c r="C515" s="4" t="s">
        <v>87</v>
      </c>
      <c r="D515" s="4" t="s">
        <v>754</v>
      </c>
      <c r="E515" s="4" t="str">
        <f>IFERROR(VLOOKUP(G515, 'Padronização'!A:C, 2, FALSE), "")</f>
        <v>❌</v>
      </c>
      <c r="F515" s="23" t="str">
        <f>IFERROR(VLOOKUP(G515, 'Padronização'!A:C, 3, FALSE), "")</f>
        <v>Transporte / tráfego em operação normal</v>
      </c>
      <c r="G515" s="23" t="s">
        <v>19</v>
      </c>
      <c r="H515" s="33"/>
    </row>
    <row r="516" ht="22.5" hidden="1" customHeight="1">
      <c r="A516" s="4" t="s">
        <v>30</v>
      </c>
      <c r="B516" s="4">
        <v>2023.0</v>
      </c>
      <c r="C516" s="4" t="s">
        <v>87</v>
      </c>
      <c r="D516" s="4" t="s">
        <v>756</v>
      </c>
      <c r="E516" s="4" t="str">
        <f>IFERROR(VLOOKUP(G516, 'Padronização'!A:C, 2, FALSE), "")</f>
        <v>⚠️</v>
      </c>
      <c r="F516" s="23" t="str">
        <f>IFERROR(VLOOKUP(G516, 'Padronização'!A:C, 3, FALSE), "")</f>
        <v>Crise explícita com foco em infraestrutura</v>
      </c>
      <c r="G516" s="23" t="s">
        <v>40</v>
      </c>
      <c r="H516" s="33"/>
    </row>
    <row r="517" ht="22.5" hidden="1" customHeight="1">
      <c r="A517" s="4" t="s">
        <v>30</v>
      </c>
      <c r="B517" s="4">
        <v>2023.0</v>
      </c>
      <c r="C517" s="4" t="s">
        <v>87</v>
      </c>
      <c r="D517" s="4" t="s">
        <v>758</v>
      </c>
      <c r="E517" s="4" t="str">
        <f>IFERROR(VLOOKUP(G517, 'Padronização'!A:C, 2, FALSE), "")</f>
        <v>❌</v>
      </c>
      <c r="F517" s="23" t="str">
        <f>IFERROR(VLOOKUP(G517, 'Padronização'!A:C, 3, FALSE), "")</f>
        <v>Telecomunicações emergenciais / alocação de rede; foco técnico</v>
      </c>
      <c r="G517" s="23" t="s">
        <v>5</v>
      </c>
      <c r="H517" s="33"/>
    </row>
    <row r="518" ht="22.5" customHeight="1">
      <c r="A518" s="4" t="s">
        <v>30</v>
      </c>
      <c r="B518" s="4">
        <v>2023.0</v>
      </c>
      <c r="C518" s="4" t="s">
        <v>87</v>
      </c>
      <c r="D518" s="4" t="s">
        <v>544</v>
      </c>
      <c r="E518" s="4" t="str">
        <f>IFERROR(VLOOKUP(G518, 'Padronização'!A:C, 2, FALSE), "")</f>
        <v>✅</v>
      </c>
      <c r="F518" s="23" t="str">
        <f>IFERROR(VLOOKUP(G518, 'Padronização'!A:C, 3, FALSE), "")</f>
        <v>ABM/MAS focado em comportamento humano cognitivo</v>
      </c>
      <c r="G518" s="23" t="s">
        <v>47</v>
      </c>
      <c r="H518" s="33"/>
    </row>
    <row r="519" ht="22.5" hidden="1" customHeight="1">
      <c r="A519" s="4" t="s">
        <v>30</v>
      </c>
      <c r="B519" s="4">
        <v>2023.0</v>
      </c>
      <c r="C519" s="4" t="s">
        <v>87</v>
      </c>
      <c r="D519" s="4" t="s">
        <v>760</v>
      </c>
      <c r="E519" s="4" t="str">
        <f>IFERROR(VLOOKUP(G519, 'Padronização'!A:C, 2, FALSE), "")</f>
        <v>❌</v>
      </c>
      <c r="F519" s="23" t="str">
        <f>IFERROR(VLOOKUP(G519, 'Padronização'!A:C, 3, FALSE), "")</f>
        <v>Telecomunicações emergenciais / alocação de rede; foco técnico</v>
      </c>
      <c r="G519" s="23" t="s">
        <v>5</v>
      </c>
      <c r="H519" s="33"/>
    </row>
    <row r="520" ht="22.5" hidden="1" customHeight="1">
      <c r="A520" s="4" t="s">
        <v>30</v>
      </c>
      <c r="B520" s="4">
        <v>2023.0</v>
      </c>
      <c r="C520" s="4" t="s">
        <v>87</v>
      </c>
      <c r="D520" s="4" t="s">
        <v>761</v>
      </c>
      <c r="E520" s="4" t="str">
        <f>IFERROR(VLOOKUP(G520, 'Padronização'!A:C, 2, FALSE), "")</f>
        <v>❌</v>
      </c>
      <c r="F520" s="23" t="str">
        <f>IFERROR(VLOOKUP(G520, 'Padronização'!A:C, 3, FALSE), "")</f>
        <v>Telecomunicações emergenciais / alocação de rede; foco técnico</v>
      </c>
      <c r="G520" s="23" t="s">
        <v>5</v>
      </c>
      <c r="H520" s="33"/>
    </row>
    <row r="521" ht="22.5" hidden="1" customHeight="1">
      <c r="A521" s="4" t="s">
        <v>30</v>
      </c>
      <c r="B521" s="4">
        <v>2023.0</v>
      </c>
      <c r="C521" s="4" t="s">
        <v>87</v>
      </c>
      <c r="D521" s="4" t="s">
        <v>763</v>
      </c>
      <c r="E521" s="4" t="str">
        <f>IFERROR(VLOOKUP(G521, 'Padronização'!A:C, 2, FALSE), "")</f>
        <v>❌</v>
      </c>
      <c r="F521" s="23" t="str">
        <f>IFERROR(VLOOKUP(G521, 'Padronização'!A:C, 3, FALSE), "")</f>
        <v>Telecomunicações emergenciais / alocação de rede; foco técnico</v>
      </c>
      <c r="G521" s="23" t="s">
        <v>5</v>
      </c>
      <c r="H521" s="33"/>
    </row>
    <row r="522" ht="22.5" hidden="1" customHeight="1">
      <c r="A522" s="4" t="s">
        <v>30</v>
      </c>
      <c r="B522" s="4">
        <v>2023.0</v>
      </c>
      <c r="C522" s="4" t="s">
        <v>87</v>
      </c>
      <c r="D522" s="4" t="s">
        <v>764</v>
      </c>
      <c r="E522" s="4" t="str">
        <f>IFERROR(VLOOKUP(G522, 'Padronização'!A:C, 2, FALSE), "")</f>
        <v>❌</v>
      </c>
      <c r="F522" s="23" t="str">
        <f>IFERROR(VLOOKUP(G522, 'Padronização'!A:C, 3, FALSE), "")</f>
        <v>Não aborda cenário de crise ou desastre</v>
      </c>
      <c r="G522" s="23" t="s">
        <v>31</v>
      </c>
      <c r="H522" s="33"/>
    </row>
    <row r="523" ht="22.5" hidden="1" customHeight="1">
      <c r="A523" s="4" t="s">
        <v>30</v>
      </c>
      <c r="B523" s="4">
        <v>2023.0</v>
      </c>
      <c r="C523" s="4" t="s">
        <v>87</v>
      </c>
      <c r="D523" s="4" t="s">
        <v>766</v>
      </c>
      <c r="E523" s="4" t="str">
        <f>IFERROR(VLOOKUP(G523, 'Padronização'!A:C, 2, FALSE), "")</f>
        <v>❌</v>
      </c>
      <c r="F523" s="23" t="str">
        <f>IFERROR(VLOOKUP(G523, 'Padronização'!A:C, 3, FALSE), "")</f>
        <v>Não aborda cenário de crise ou desastre</v>
      </c>
      <c r="G523" s="3" t="s">
        <v>31</v>
      </c>
      <c r="H523" s="33"/>
    </row>
    <row r="524" ht="22.5" hidden="1" customHeight="1">
      <c r="A524" s="4" t="s">
        <v>30</v>
      </c>
      <c r="B524" s="4">
        <v>2023.0</v>
      </c>
      <c r="C524" s="4" t="s">
        <v>87</v>
      </c>
      <c r="D524" s="4" t="s">
        <v>767</v>
      </c>
      <c r="E524" s="4" t="str">
        <f>IFERROR(VLOOKUP(G524, 'Padronização'!A:C, 2, FALSE), "")</f>
        <v>❌</v>
      </c>
      <c r="F524" s="23" t="str">
        <f>IFERROR(VLOOKUP(G524, 'Padronização'!A:C, 3, FALSE), "")</f>
        <v>Não aborda cenário de crise ou desastre</v>
      </c>
      <c r="G524" s="3" t="s">
        <v>31</v>
      </c>
      <c r="H524" s="33"/>
    </row>
    <row r="525" ht="22.5" hidden="1" customHeight="1">
      <c r="A525" s="4" t="s">
        <v>30</v>
      </c>
      <c r="B525" s="4">
        <v>2023.0</v>
      </c>
      <c r="C525" s="4" t="s">
        <v>87</v>
      </c>
      <c r="D525" s="4" t="s">
        <v>769</v>
      </c>
      <c r="E525" s="4" t="str">
        <f>IFERROR(VLOOKUP(G525, 'Padronização'!A:C, 2, FALSE), "")</f>
        <v>❌</v>
      </c>
      <c r="F525" s="23" t="str">
        <f>IFERROR(VLOOKUP(G525, 'Padronização'!A:C, 3, FALSE), "")</f>
        <v>Não aborda cenário de crise ou desastre</v>
      </c>
      <c r="G525" s="3" t="s">
        <v>31</v>
      </c>
      <c r="H525" s="33"/>
    </row>
    <row r="526" ht="22.5" hidden="1" customHeight="1">
      <c r="A526" s="4" t="s">
        <v>30</v>
      </c>
      <c r="B526" s="4">
        <v>2023.0</v>
      </c>
      <c r="C526" s="4" t="s">
        <v>87</v>
      </c>
      <c r="D526" s="4" t="s">
        <v>770</v>
      </c>
      <c r="E526" s="4" t="str">
        <f>IFERROR(VLOOKUP(G526, 'Padronização'!A:C, 2, FALSE), "")</f>
        <v>❌</v>
      </c>
      <c r="F526" s="23" t="str">
        <f>IFERROR(VLOOKUP(G526, 'Padronização'!A:C, 3, FALSE), "")</f>
        <v>Não aborda cenário de crise ou desastre</v>
      </c>
      <c r="G526" s="3" t="s">
        <v>31</v>
      </c>
      <c r="H526" s="33"/>
    </row>
    <row r="527" ht="22.5" hidden="1" customHeight="1">
      <c r="A527" s="4" t="s">
        <v>30</v>
      </c>
      <c r="B527" s="4">
        <v>2023.0</v>
      </c>
      <c r="C527" s="4" t="s">
        <v>87</v>
      </c>
      <c r="D527" s="4" t="s">
        <v>771</v>
      </c>
      <c r="E527" s="4" t="str">
        <f>IFERROR(VLOOKUP(G527, 'Padronização'!A:C, 2, FALSE), "")</f>
        <v>⚠️</v>
      </c>
      <c r="F527" s="23" t="str">
        <f>IFERROR(VLOOKUP(G527, 'Padronização'!A:C, 3, FALSE), "")</f>
        <v>Emergência sem evacuação clara</v>
      </c>
      <c r="G527" s="23" t="s">
        <v>43</v>
      </c>
      <c r="H527" s="33"/>
    </row>
    <row r="528" ht="22.5" hidden="1" customHeight="1">
      <c r="A528" s="4" t="s">
        <v>30</v>
      </c>
      <c r="B528" s="4">
        <v>2023.0</v>
      </c>
      <c r="C528" s="4" t="s">
        <v>87</v>
      </c>
      <c r="D528" s="4" t="s">
        <v>772</v>
      </c>
      <c r="E528" s="4" t="str">
        <f>IFERROR(VLOOKUP(G528, 'Padronização'!A:C, 2, FALSE), "")</f>
        <v>❌</v>
      </c>
      <c r="F528" s="23" t="str">
        <f>IFERROR(VLOOKUP(G528, 'Padronização'!A:C, 3, FALSE), "")</f>
        <v>Telecomunicações emergenciais / alocação de rede; foco técnico</v>
      </c>
      <c r="G528" s="23" t="s">
        <v>5</v>
      </c>
      <c r="H528" s="33"/>
    </row>
    <row r="529" ht="22.5" hidden="1" customHeight="1">
      <c r="A529" s="4" t="s">
        <v>30</v>
      </c>
      <c r="B529" s="4">
        <v>2023.0</v>
      </c>
      <c r="C529" s="4" t="s">
        <v>33</v>
      </c>
      <c r="D529" s="4" t="s">
        <v>773</v>
      </c>
      <c r="E529" s="4" t="str">
        <f>IFERROR(VLOOKUP(G529, 'Padronização'!A:C, 2, FALSE), "")</f>
        <v>❌</v>
      </c>
      <c r="F529" s="23" t="str">
        <f>IFERROR(VLOOKUP(G529, 'Padronização'!A:C, 3, FALSE), "")</f>
        <v>Não aborda cenário de crise ou desastre</v>
      </c>
      <c r="G529" s="23" t="s">
        <v>31</v>
      </c>
      <c r="H529" s="33"/>
    </row>
    <row r="530" ht="22.5" hidden="1" customHeight="1">
      <c r="A530" s="4" t="s">
        <v>30</v>
      </c>
      <c r="B530" s="4">
        <v>2023.0</v>
      </c>
      <c r="C530" s="4" t="s">
        <v>33</v>
      </c>
      <c r="D530" s="4" t="s">
        <v>774</v>
      </c>
      <c r="E530" s="4" t="str">
        <f>IFERROR(VLOOKUP(G530, 'Padronização'!A:C, 2, FALSE), "")</f>
        <v>❌</v>
      </c>
      <c r="F530" s="23" t="str">
        <f>IFERROR(VLOOKUP(G530, 'Padronização'!A:C, 3, FALSE), "")</f>
        <v>Telecomunicações emergenciais / alocação de rede; foco técnico</v>
      </c>
      <c r="G530" s="23" t="s">
        <v>5</v>
      </c>
      <c r="H530" s="33"/>
    </row>
    <row r="531" ht="22.5" hidden="1" customHeight="1">
      <c r="A531" s="4" t="s">
        <v>30</v>
      </c>
      <c r="B531" s="4">
        <v>2023.0</v>
      </c>
      <c r="C531" s="4" t="s">
        <v>87</v>
      </c>
      <c r="D531" s="4" t="s">
        <v>776</v>
      </c>
      <c r="E531" s="4" t="str">
        <f>IFERROR(VLOOKUP(G531, 'Padronização'!A:C, 2, FALSE), "")</f>
        <v>❌</v>
      </c>
      <c r="F531" s="23" t="str">
        <f>IFERROR(VLOOKUP(G531, 'Padronização'!A:C, 3, FALSE), "")</f>
        <v>Não aborda cenário de crise ou desastre</v>
      </c>
      <c r="G531" s="23" t="s">
        <v>31</v>
      </c>
      <c r="H531" s="33"/>
    </row>
    <row r="532" ht="22.5" hidden="1" customHeight="1">
      <c r="A532" s="4" t="s">
        <v>30</v>
      </c>
      <c r="B532" s="4">
        <v>2023.0</v>
      </c>
      <c r="C532" s="4" t="s">
        <v>87</v>
      </c>
      <c r="D532" s="4" t="s">
        <v>777</v>
      </c>
      <c r="E532" s="4" t="str">
        <f>IFERROR(VLOOKUP(G532, 'Padronização'!A:C, 2, FALSE), "")</f>
        <v>⚠️</v>
      </c>
      <c r="F532" s="23" t="str">
        <f>IFERROR(VLOOKUP(G532, 'Padronização'!A:C, 3, FALSE), "")</f>
        <v>Emergência com evacuação específica</v>
      </c>
      <c r="G532" s="23" t="s">
        <v>57</v>
      </c>
      <c r="H532" s="33"/>
    </row>
    <row r="533" ht="22.5" hidden="1" customHeight="1">
      <c r="A533" s="4" t="s">
        <v>30</v>
      </c>
      <c r="B533" s="4">
        <v>2023.0</v>
      </c>
      <c r="C533" s="4" t="s">
        <v>87</v>
      </c>
      <c r="D533" s="4" t="s">
        <v>779</v>
      </c>
      <c r="E533" s="4" t="str">
        <f>IFERROR(VLOOKUP(G533, 'Padronização'!A:C, 2, FALSE), "")</f>
        <v>❌</v>
      </c>
      <c r="F533" s="23" t="str">
        <f>IFERROR(VLOOKUP(G533, 'Padronização'!A:C, 3, FALSE), "")</f>
        <v>Não aborda cenário de crise ou desastre</v>
      </c>
      <c r="G533" s="23" t="s">
        <v>31</v>
      </c>
      <c r="H533" s="33"/>
    </row>
    <row r="534" ht="22.5" hidden="1" customHeight="1">
      <c r="A534" s="4" t="s">
        <v>30</v>
      </c>
      <c r="B534" s="4">
        <v>2023.0</v>
      </c>
      <c r="C534" s="4" t="s">
        <v>87</v>
      </c>
      <c r="D534" s="4" t="s">
        <v>780</v>
      </c>
      <c r="E534" s="4" t="str">
        <f>IFERROR(VLOOKUP(G534, 'Padronização'!A:C, 2, FALSE), "")</f>
        <v>❌</v>
      </c>
      <c r="F534" s="23" t="str">
        <f>IFERROR(VLOOKUP(G534, 'Padronização'!A:C, 3, FALSE), "")</f>
        <v>Não aborda cenário de crise ou desastre</v>
      </c>
      <c r="G534" s="23" t="s">
        <v>31</v>
      </c>
      <c r="H534" s="33"/>
    </row>
    <row r="535" ht="22.5" hidden="1" customHeight="1">
      <c r="A535" s="4" t="s">
        <v>30</v>
      </c>
      <c r="B535" s="4">
        <v>2023.0</v>
      </c>
      <c r="C535" s="4" t="s">
        <v>87</v>
      </c>
      <c r="D535" s="4" t="s">
        <v>782</v>
      </c>
      <c r="E535" s="4" t="str">
        <f>IFERROR(VLOOKUP(G535, 'Padronização'!A:C, 2, FALSE), "")</f>
        <v>❌</v>
      </c>
      <c r="F535" s="23" t="str">
        <f>IFERROR(VLOOKUP(G535, 'Padronização'!A:C, 3, FALSE), "")</f>
        <v>Energia, grid, V2G; crise tratada como operação técnica</v>
      </c>
      <c r="G535" s="23" t="s">
        <v>12</v>
      </c>
      <c r="H535" s="33"/>
    </row>
    <row r="536" ht="22.5" hidden="1" customHeight="1">
      <c r="A536" s="4" t="s">
        <v>30</v>
      </c>
      <c r="B536" s="4">
        <v>2023.0</v>
      </c>
      <c r="C536" s="4" t="s">
        <v>87</v>
      </c>
      <c r="D536" s="4" t="s">
        <v>783</v>
      </c>
      <c r="E536" s="4" t="str">
        <f>IFERROR(VLOOKUP(G536, 'Padronização'!A:C, 2, FALSE), "")</f>
        <v>❌</v>
      </c>
      <c r="F536" s="23" t="str">
        <f>IFERROR(VLOOKUP(G536, 'Padronização'!A:C, 3, FALSE), "")</f>
        <v>Não aborda cenário de crise ou desastre</v>
      </c>
      <c r="G536" s="23" t="s">
        <v>31</v>
      </c>
      <c r="H536" s="33"/>
    </row>
    <row r="537" ht="22.5" hidden="1" customHeight="1">
      <c r="A537" s="4" t="s">
        <v>30</v>
      </c>
      <c r="B537" s="4">
        <v>2023.0</v>
      </c>
      <c r="C537" s="4" t="s">
        <v>33</v>
      </c>
      <c r="D537" s="4" t="s">
        <v>785</v>
      </c>
      <c r="E537" s="4" t="str">
        <f>IFERROR(VLOOKUP(G537, 'Padronização'!A:C, 2, FALSE), "")</f>
        <v>❌</v>
      </c>
      <c r="F537" s="23" t="str">
        <f>IFERROR(VLOOKUP(G537, 'Padronização'!A:C, 3, FALSE), "")</f>
        <v>Não aborda cenário de crise ou desastre</v>
      </c>
      <c r="G537" s="23" t="s">
        <v>31</v>
      </c>
      <c r="H537" s="33"/>
    </row>
    <row r="538" ht="22.5" hidden="1" customHeight="1">
      <c r="A538" s="4" t="s">
        <v>30</v>
      </c>
      <c r="B538" s="4">
        <v>2023.0</v>
      </c>
      <c r="C538" s="4" t="s">
        <v>87</v>
      </c>
      <c r="D538" s="4" t="s">
        <v>786</v>
      </c>
      <c r="E538" s="4" t="str">
        <f>IFERROR(VLOOKUP(G538, 'Padronização'!A:C, 2, FALSE), "")</f>
        <v>❌</v>
      </c>
      <c r="F538" s="23" t="str">
        <f>IFERROR(VLOOKUP(G538, 'Padronização'!A:C, 3, FALSE), "")</f>
        <v>Energia, grid, V2G; crise tratada como operação técnica</v>
      </c>
      <c r="G538" s="23" t="s">
        <v>12</v>
      </c>
      <c r="H538" s="33"/>
    </row>
    <row r="539" ht="22.5" hidden="1" customHeight="1">
      <c r="A539" s="4" t="s">
        <v>30</v>
      </c>
      <c r="B539" s="4">
        <v>2023.0</v>
      </c>
      <c r="C539" s="4" t="s">
        <v>87</v>
      </c>
      <c r="D539" s="13" t="s">
        <v>787</v>
      </c>
      <c r="E539" s="4" t="str">
        <f>IFERROR(VLOOKUP(G539, 'Padronização'!A:C, 2, FALSE), "")</f>
        <v>❌</v>
      </c>
      <c r="F539" s="23" t="str">
        <f>IFERROR(VLOOKUP(G539, 'Padronização'!A:C, 3, FALSE), "")</f>
        <v>Energia, grid, V2G; crise tratada como operação técnica</v>
      </c>
      <c r="G539" s="23" t="s">
        <v>12</v>
      </c>
      <c r="H539" s="33"/>
    </row>
    <row r="540" ht="22.5" hidden="1" customHeight="1">
      <c r="A540" s="4" t="s">
        <v>30</v>
      </c>
      <c r="B540" s="4">
        <v>2023.0</v>
      </c>
      <c r="C540" s="4" t="s">
        <v>33</v>
      </c>
      <c r="D540" s="4" t="s">
        <v>788</v>
      </c>
      <c r="E540" s="4" t="str">
        <f>IFERROR(VLOOKUP(G540, 'Padronização'!A:C, 2, FALSE), "")</f>
        <v>❌</v>
      </c>
      <c r="F540" s="23" t="str">
        <f>IFERROR(VLOOKUP(G540, 'Padronização'!A:C, 3, FALSE), "")</f>
        <v>Não aborda cenário de crise ou desastre</v>
      </c>
      <c r="G540" s="3" t="s">
        <v>31</v>
      </c>
      <c r="H540" s="33"/>
    </row>
    <row r="541" ht="22.5" customHeight="1">
      <c r="A541" s="4" t="s">
        <v>30</v>
      </c>
      <c r="B541" s="4">
        <v>2022.0</v>
      </c>
      <c r="C541" s="4" t="s">
        <v>33</v>
      </c>
      <c r="D541" s="4" t="s">
        <v>547</v>
      </c>
      <c r="E541" s="4" t="str">
        <f>IFERROR(VLOOKUP(G541, 'Padronização'!A:C, 2, FALSE), "")</f>
        <v>✅</v>
      </c>
      <c r="F541" s="23" t="str">
        <f>IFERROR(VLOOKUP(G541, 'Padronização'!A:C, 3, FALSE), "")</f>
        <v>ABM/MAS focado em comportamento humano cognitivo</v>
      </c>
      <c r="G541" s="23" t="s">
        <v>47</v>
      </c>
      <c r="H541" s="33"/>
    </row>
    <row r="542" ht="22.5" hidden="1" customHeight="1">
      <c r="A542" s="4" t="s">
        <v>30</v>
      </c>
      <c r="B542" s="4">
        <v>2022.0</v>
      </c>
      <c r="C542" s="4" t="s">
        <v>33</v>
      </c>
      <c r="D542" s="4" t="s">
        <v>790</v>
      </c>
      <c r="E542" s="4" t="str">
        <f>IFERROR(VLOOKUP(G542, 'Padronização'!A:C, 2, FALSE), "")</f>
        <v>⚠️</v>
      </c>
      <c r="F542" s="23" t="str">
        <f>IFERROR(VLOOKUP(G542, 'Padronização'!A:C, 3, FALSE), "")</f>
        <v>Crise explícita com foco em infraestrutura</v>
      </c>
      <c r="G542" s="23" t="s">
        <v>40</v>
      </c>
      <c r="H542" s="33"/>
    </row>
    <row r="543" ht="22.5" hidden="1" customHeight="1">
      <c r="A543" s="4" t="s">
        <v>30</v>
      </c>
      <c r="B543" s="4">
        <v>2022.0</v>
      </c>
      <c r="C543" s="4" t="s">
        <v>33</v>
      </c>
      <c r="D543" s="4" t="s">
        <v>792</v>
      </c>
      <c r="E543" s="4" t="str">
        <f>IFERROR(VLOOKUP(G543, 'Padronização'!A:C, 2, FALSE), "")</f>
        <v>❌</v>
      </c>
      <c r="F543" s="23" t="str">
        <f>IFERROR(VLOOKUP(G543, 'Padronização'!A:C, 3, FALSE), "")</f>
        <v>Artigo metodológico genérico (framework, design, how-to)</v>
      </c>
      <c r="G543" s="23" t="s">
        <v>27</v>
      </c>
      <c r="H543" s="33"/>
    </row>
    <row r="544" ht="22.5" customHeight="1">
      <c r="A544" s="4" t="s">
        <v>30</v>
      </c>
      <c r="B544" s="4">
        <v>2022.0</v>
      </c>
      <c r="C544" s="4" t="s">
        <v>33</v>
      </c>
      <c r="D544" s="4" t="s">
        <v>551</v>
      </c>
      <c r="E544" s="4" t="str">
        <f>IFERROR(VLOOKUP(G544, 'Padronização'!A:C, 2, FALSE), "")</f>
        <v>✅</v>
      </c>
      <c r="F544" s="23" t="str">
        <f>IFERROR(VLOOKUP(G544, 'Padronização'!A:C, 3, FALSE), "")</f>
        <v>Resposta humana a alertas e decisões</v>
      </c>
      <c r="G544" s="23" t="s">
        <v>50</v>
      </c>
      <c r="H544" s="33"/>
    </row>
    <row r="545" ht="22.5" customHeight="1">
      <c r="A545" s="4" t="s">
        <v>30</v>
      </c>
      <c r="B545" s="4">
        <v>2022.0</v>
      </c>
      <c r="C545" s="4" t="s">
        <v>33</v>
      </c>
      <c r="D545" s="4" t="s">
        <v>794</v>
      </c>
      <c r="E545" s="4" t="str">
        <f>IFERROR(VLOOKUP(G545, 'Padronização'!A:C, 2, FALSE), "")</f>
        <v>✅</v>
      </c>
      <c r="F545" s="23" t="str">
        <f>IFERROR(VLOOKUP(G545, 'Padronização'!A:C, 3, FALSE), "")</f>
        <v>ABM/MAS aplicado à evacuação</v>
      </c>
      <c r="G545" s="23" t="s">
        <v>45</v>
      </c>
      <c r="H545" s="33"/>
    </row>
    <row r="546" ht="22.5" hidden="1" customHeight="1">
      <c r="A546" s="4" t="s">
        <v>30</v>
      </c>
      <c r="B546" s="4">
        <v>2022.0</v>
      </c>
      <c r="C546" s="4" t="s">
        <v>33</v>
      </c>
      <c r="D546" s="4" t="s">
        <v>795</v>
      </c>
      <c r="E546" s="4" t="str">
        <f>IFERROR(VLOOKUP(G546, 'Padronização'!A:C, 2, FALSE), "")</f>
        <v>❌</v>
      </c>
      <c r="F546" s="23" t="str">
        <f>IFERROR(VLOOKUP(G546, 'Padronização'!A:C, 3, FALSE), "")</f>
        <v>Emergência em saúde com foco operacional / Operação hospitalar</v>
      </c>
      <c r="G546" s="23" t="s">
        <v>38</v>
      </c>
      <c r="H546" s="33"/>
    </row>
    <row r="547" ht="22.5" hidden="1" customHeight="1">
      <c r="A547" s="4" t="s">
        <v>30</v>
      </c>
      <c r="B547" s="4">
        <v>2022.0</v>
      </c>
      <c r="C547" s="4" t="s">
        <v>33</v>
      </c>
      <c r="D547" s="4" t="s">
        <v>797</v>
      </c>
      <c r="E547" s="4" t="str">
        <f>IFERROR(VLOOKUP(G547, 'Padronização'!A:C, 2, FALSE), "")</f>
        <v>❌</v>
      </c>
      <c r="F547" s="23" t="str">
        <f>IFERROR(VLOOKUP(G547, 'Padronização'!A:C, 3, FALSE), "")</f>
        <v>Telecomunicações emergenciais / alocação de rede; foco técnico</v>
      </c>
      <c r="G547" s="23" t="s">
        <v>5</v>
      </c>
      <c r="H547" s="33"/>
    </row>
    <row r="548" ht="22.5" customHeight="1">
      <c r="A548" s="4" t="s">
        <v>30</v>
      </c>
      <c r="B548" s="4">
        <v>2022.0</v>
      </c>
      <c r="C548" s="4" t="s">
        <v>33</v>
      </c>
      <c r="D548" s="4" t="s">
        <v>558</v>
      </c>
      <c r="E548" s="4" t="str">
        <f>IFERROR(VLOOKUP(G548, 'Padronização'!A:C, 2, FALSE), "")</f>
        <v>✅</v>
      </c>
      <c r="F548" s="23" t="str">
        <f>IFERROR(VLOOKUP(G548, 'Padronização'!A:C, 3, FALSE), "")</f>
        <v>ABM/MAS focado em comportamento humano cognitivo</v>
      </c>
      <c r="G548" s="23" t="s">
        <v>47</v>
      </c>
      <c r="H548" s="33"/>
    </row>
    <row r="549" ht="22.5" customHeight="1">
      <c r="A549" s="4" t="s">
        <v>30</v>
      </c>
      <c r="B549" s="4">
        <v>2022.0</v>
      </c>
      <c r="C549" s="4" t="s">
        <v>33</v>
      </c>
      <c r="D549" s="4" t="s">
        <v>561</v>
      </c>
      <c r="E549" s="4" t="str">
        <f>IFERROR(VLOOKUP(G549, 'Padronização'!A:C, 2, FALSE), "")</f>
        <v>✅</v>
      </c>
      <c r="F549" s="23" t="str">
        <f>IFERROR(VLOOKUP(G549, 'Padronização'!A:C, 3, FALSE), "")</f>
        <v>ABM/MAS aplicado à evacuação</v>
      </c>
      <c r="G549" s="23" t="s">
        <v>45</v>
      </c>
      <c r="H549" s="33"/>
    </row>
    <row r="550" ht="22.5" hidden="1" customHeight="1">
      <c r="A550" s="4" t="s">
        <v>30</v>
      </c>
      <c r="B550" s="4">
        <v>2022.0</v>
      </c>
      <c r="C550" s="4" t="s">
        <v>33</v>
      </c>
      <c r="D550" s="4" t="s">
        <v>799</v>
      </c>
      <c r="E550" s="4" t="str">
        <f>IFERROR(VLOOKUP(G550, 'Padronização'!A:C, 2, FALSE), "")</f>
        <v>⚠️</v>
      </c>
      <c r="F550" s="23" t="str">
        <f>IFERROR(VLOOKUP(G550, 'Padronização'!A:C, 3, FALSE), "")</f>
        <v>Emergência sem evacuação clara</v>
      </c>
      <c r="G550" s="23" t="s">
        <v>43</v>
      </c>
      <c r="H550" s="33"/>
    </row>
    <row r="551" ht="22.5" customHeight="1">
      <c r="A551" s="4" t="s">
        <v>30</v>
      </c>
      <c r="B551" s="4">
        <v>2022.0</v>
      </c>
      <c r="C551" s="4" t="s">
        <v>33</v>
      </c>
      <c r="D551" s="4" t="s">
        <v>800</v>
      </c>
      <c r="E551" s="4" t="str">
        <f>IFERROR(VLOOKUP(G551, 'Padronização'!A:C, 2, FALSE), "")</f>
        <v>✅</v>
      </c>
      <c r="F551" s="23" t="str">
        <f>IFERROR(VLOOKUP(G551, 'Padronização'!A:C, 3, FALSE), "")</f>
        <v>Resposta humana a alertas e decisões</v>
      </c>
      <c r="G551" s="23" t="s">
        <v>50</v>
      </c>
      <c r="H551" s="33"/>
    </row>
    <row r="552" ht="22.5" customHeight="1">
      <c r="A552" s="4" t="s">
        <v>30</v>
      </c>
      <c r="B552" s="4">
        <v>2022.0</v>
      </c>
      <c r="C552" s="4" t="s">
        <v>33</v>
      </c>
      <c r="D552" s="4" t="s">
        <v>573</v>
      </c>
      <c r="E552" s="4" t="str">
        <f>IFERROR(VLOOKUP(G552, 'Padronização'!A:C, 2, FALSE), "")</f>
        <v>✅</v>
      </c>
      <c r="F552" s="23" t="str">
        <f>IFERROR(VLOOKUP(G552, 'Padronização'!A:C, 3, FALSE), "")</f>
        <v>ABM/MAS aplicado à evacuação</v>
      </c>
      <c r="G552" s="23" t="s">
        <v>45</v>
      </c>
      <c r="H552" s="33"/>
    </row>
    <row r="553" ht="22.5" hidden="1" customHeight="1">
      <c r="A553" s="4" t="s">
        <v>30</v>
      </c>
      <c r="B553" s="4">
        <v>2022.0</v>
      </c>
      <c r="C553" s="4" t="s">
        <v>33</v>
      </c>
      <c r="D553" s="4" t="s">
        <v>801</v>
      </c>
      <c r="E553" s="4" t="str">
        <f>IFERROR(VLOOKUP(G553, 'Padronização'!A:C, 2, FALSE), "")</f>
        <v>⚠️</v>
      </c>
      <c r="F553" s="23" t="str">
        <f>IFERROR(VLOOKUP(G553, 'Padronização'!A:C, 3, FALSE), "")</f>
        <v>Emergência sem evacuação clara</v>
      </c>
      <c r="G553" s="23" t="s">
        <v>43</v>
      </c>
      <c r="H553" s="33"/>
    </row>
    <row r="554" ht="22.5" hidden="1" customHeight="1">
      <c r="A554" s="4" t="s">
        <v>30</v>
      </c>
      <c r="B554" s="4">
        <v>2022.0</v>
      </c>
      <c r="C554" s="4" t="s">
        <v>87</v>
      </c>
      <c r="D554" s="4" t="s">
        <v>802</v>
      </c>
      <c r="E554" s="4" t="str">
        <f>IFERROR(VLOOKUP(G554, 'Padronização'!A:C, 2, FALSE), "")</f>
        <v>❌</v>
      </c>
      <c r="F554" s="23" t="str">
        <f>IFERROR(VLOOKUP(G554, 'Padronização'!A:C, 3, FALSE), "")</f>
        <v>Emergência em saúde com foco operacional / Operação hospitalar</v>
      </c>
      <c r="G554" s="23" t="s">
        <v>38</v>
      </c>
      <c r="H554" s="33"/>
    </row>
    <row r="555" ht="22.5" hidden="1" customHeight="1">
      <c r="A555" s="4" t="s">
        <v>30</v>
      </c>
      <c r="B555" s="4">
        <v>2022.0</v>
      </c>
      <c r="C555" s="4" t="s">
        <v>87</v>
      </c>
      <c r="D555" s="4" t="s">
        <v>803</v>
      </c>
      <c r="E555" s="4" t="str">
        <f>IFERROR(VLOOKUP(G555, 'Padronização'!A:C, 2, FALSE), "")</f>
        <v>⚠️</v>
      </c>
      <c r="F555" s="23" t="str">
        <f>IFERROR(VLOOKUP(G555, 'Padronização'!A:C, 3, FALSE), "")</f>
        <v>Emergência sem evacuação clara</v>
      </c>
      <c r="G555" s="23" t="s">
        <v>43</v>
      </c>
      <c r="H555" s="33"/>
    </row>
    <row r="556" ht="22.5" customHeight="1">
      <c r="A556" s="4" t="s">
        <v>30</v>
      </c>
      <c r="B556" s="4">
        <v>2022.0</v>
      </c>
      <c r="C556" s="4" t="s">
        <v>33</v>
      </c>
      <c r="D556" s="4" t="s">
        <v>576</v>
      </c>
      <c r="E556" s="4" t="str">
        <f>IFERROR(VLOOKUP(G556, 'Padronização'!A:C, 2, FALSE), "")</f>
        <v>✅</v>
      </c>
      <c r="F556" s="23" t="str">
        <f>IFERROR(VLOOKUP(G556, 'Padronização'!A:C, 3, FALSE), "")</f>
        <v>ABM/MAS aplicado à evacuação</v>
      </c>
      <c r="G556" s="3" t="s">
        <v>45</v>
      </c>
      <c r="H556" s="33"/>
    </row>
    <row r="557" ht="22.5" customHeight="1">
      <c r="A557" s="4" t="s">
        <v>30</v>
      </c>
      <c r="B557" s="4">
        <v>2022.0</v>
      </c>
      <c r="C557" s="4" t="s">
        <v>33</v>
      </c>
      <c r="D557" s="4" t="s">
        <v>805</v>
      </c>
      <c r="E557" s="4" t="str">
        <f>IFERROR(VLOOKUP(G557, 'Padronização'!A:C, 2, FALSE), "")</f>
        <v>✅</v>
      </c>
      <c r="F557" s="23" t="str">
        <f>IFERROR(VLOOKUP(G557, 'Padronização'!A:C, 3, FALSE), "")</f>
        <v>ABM/MAS aplicado à evacuação</v>
      </c>
      <c r="G557" s="23" t="s">
        <v>45</v>
      </c>
      <c r="H557" s="33"/>
    </row>
    <row r="558" ht="22.5" hidden="1" customHeight="1">
      <c r="A558" s="4" t="s">
        <v>30</v>
      </c>
      <c r="B558" s="4">
        <v>2022.0</v>
      </c>
      <c r="C558" s="4" t="s">
        <v>87</v>
      </c>
      <c r="D558" s="4" t="s">
        <v>806</v>
      </c>
      <c r="E558" s="4" t="str">
        <f>IFERROR(VLOOKUP(G558, 'Padronização'!A:C, 2, FALSE), "")</f>
        <v>⚠️</v>
      </c>
      <c r="F558" s="23" t="str">
        <f>IFERROR(VLOOKUP(G558, 'Padronização'!A:C, 3, FALSE), "")</f>
        <v>Emergência com evacuação específica</v>
      </c>
      <c r="G558" s="23" t="s">
        <v>57</v>
      </c>
      <c r="H558" s="33"/>
    </row>
    <row r="559" ht="22.5" hidden="1" customHeight="1">
      <c r="A559" s="4" t="s">
        <v>30</v>
      </c>
      <c r="B559" s="4">
        <v>2022.0</v>
      </c>
      <c r="C559" s="4" t="s">
        <v>33</v>
      </c>
      <c r="D559" s="4" t="s">
        <v>808</v>
      </c>
      <c r="E559" s="4" t="str">
        <f>IFERROR(VLOOKUP(G559, 'Padronização'!A:C, 2, FALSE), "")</f>
        <v>❌</v>
      </c>
      <c r="F559" s="23" t="str">
        <f>IFERROR(VLOOKUP(G559, 'Padronização'!A:C, 3, FALSE), "")</f>
        <v>Transporte / tráfego em operação normal</v>
      </c>
      <c r="G559" s="23" t="s">
        <v>19</v>
      </c>
      <c r="H559" s="33"/>
    </row>
    <row r="560" ht="22.5" hidden="1" customHeight="1">
      <c r="A560" s="4" t="s">
        <v>30</v>
      </c>
      <c r="B560" s="4">
        <v>2022.0</v>
      </c>
      <c r="C560" s="4" t="s">
        <v>33</v>
      </c>
      <c r="D560" s="4" t="s">
        <v>809</v>
      </c>
      <c r="E560" s="4" t="str">
        <f>IFERROR(VLOOKUP(G560, 'Padronização'!A:C, 2, FALSE), "")</f>
        <v>❌</v>
      </c>
      <c r="F560" s="23" t="str">
        <f>IFERROR(VLOOKUP(G560, 'Padronização'!A:C, 3, FALSE), "")</f>
        <v>Não aborda cenário de crise ou desastre</v>
      </c>
      <c r="G560" s="23" t="s">
        <v>31</v>
      </c>
      <c r="H560" s="33"/>
    </row>
    <row r="561" ht="22.5" hidden="1" customHeight="1">
      <c r="A561" s="4" t="s">
        <v>30</v>
      </c>
      <c r="B561" s="4">
        <v>2022.0</v>
      </c>
      <c r="C561" s="4" t="s">
        <v>33</v>
      </c>
      <c r="D561" s="4" t="s">
        <v>810</v>
      </c>
      <c r="E561" s="4" t="str">
        <f>IFERROR(VLOOKUP(G561, 'Padronização'!A:C, 2, FALSE), "")</f>
        <v>❌</v>
      </c>
      <c r="F561" s="23" t="str">
        <f>IFERROR(VLOOKUP(G561, 'Padronização'!A:C, 3, FALSE), "")</f>
        <v>Energia, grid, V2G; crise tratada como operação técnica</v>
      </c>
      <c r="G561" s="23" t="s">
        <v>12</v>
      </c>
      <c r="H561" s="33"/>
    </row>
    <row r="562" ht="22.5" customHeight="1">
      <c r="A562" s="4" t="s">
        <v>30</v>
      </c>
      <c r="B562" s="4">
        <v>2022.0</v>
      </c>
      <c r="C562" s="4" t="s">
        <v>33</v>
      </c>
      <c r="D562" s="4" t="s">
        <v>583</v>
      </c>
      <c r="E562" s="4" t="str">
        <f>IFERROR(VLOOKUP(G562, 'Padronização'!A:C, 2, FALSE), "")</f>
        <v>✅</v>
      </c>
      <c r="F562" s="23" t="str">
        <f>IFERROR(VLOOKUP(G562, 'Padronização'!A:C, 3, FALSE), "")</f>
        <v>ABM/MAS focado em comportamento humano cognitivo</v>
      </c>
      <c r="G562" s="23" t="s">
        <v>47</v>
      </c>
      <c r="H562" s="33"/>
    </row>
    <row r="563" ht="22.5" hidden="1" customHeight="1">
      <c r="A563" s="4" t="s">
        <v>30</v>
      </c>
      <c r="B563" s="4">
        <v>2022.0</v>
      </c>
      <c r="C563" s="4" t="s">
        <v>33</v>
      </c>
      <c r="D563" s="4" t="s">
        <v>812</v>
      </c>
      <c r="E563" s="4" t="str">
        <f>IFERROR(VLOOKUP(G563, 'Padronização'!A:C, 2, FALSE), "")</f>
        <v>❌</v>
      </c>
      <c r="F563" s="23" t="str">
        <f>IFERROR(VLOOKUP(G563, 'Padronização'!A:C, 3, FALSE), "")</f>
        <v>Não aborda cenário de crise ou desastre</v>
      </c>
      <c r="G563" s="23" t="s">
        <v>31</v>
      </c>
      <c r="H563" s="33"/>
    </row>
    <row r="564" ht="22.5" hidden="1" customHeight="1">
      <c r="A564" s="4" t="s">
        <v>30</v>
      </c>
      <c r="B564" s="4">
        <v>2022.0</v>
      </c>
      <c r="C564" s="4" t="s">
        <v>33</v>
      </c>
      <c r="D564" s="4" t="s">
        <v>814</v>
      </c>
      <c r="E564" s="4" t="str">
        <f>IFERROR(VLOOKUP(G564, 'Padronização'!A:C, 2, FALSE), "")</f>
        <v>❌</v>
      </c>
      <c r="F564" s="23" t="str">
        <f>IFERROR(VLOOKUP(G564, 'Padronização'!A:C, 3, FALSE), "")</f>
        <v>Telecomunicações emergenciais / alocação de rede; foco técnico</v>
      </c>
      <c r="G564" s="23" t="s">
        <v>5</v>
      </c>
      <c r="H564" s="33"/>
    </row>
    <row r="565" ht="22.5" customHeight="1">
      <c r="A565" s="4" t="s">
        <v>30</v>
      </c>
      <c r="B565" s="4">
        <v>2022.0</v>
      </c>
      <c r="C565" s="4" t="s">
        <v>33</v>
      </c>
      <c r="D565" s="4" t="s">
        <v>586</v>
      </c>
      <c r="E565" s="4" t="str">
        <f>IFERROR(VLOOKUP(G565, 'Padronização'!A:C, 2, FALSE), "")</f>
        <v>✅</v>
      </c>
      <c r="F565" s="23" t="str">
        <f>IFERROR(VLOOKUP(G565, 'Padronização'!A:C, 3, FALSE), "")</f>
        <v>ABM/MAS focado em comportamento humano cognitivo</v>
      </c>
      <c r="G565" s="23" t="s">
        <v>47</v>
      </c>
      <c r="H565" s="33"/>
    </row>
    <row r="566" ht="22.5" hidden="1" customHeight="1">
      <c r="A566" s="4" t="s">
        <v>30</v>
      </c>
      <c r="B566" s="4">
        <v>2022.0</v>
      </c>
      <c r="C566" s="4" t="s">
        <v>33</v>
      </c>
      <c r="D566" s="4" t="s">
        <v>816</v>
      </c>
      <c r="E566" s="4" t="str">
        <f>IFERROR(VLOOKUP(G566, 'Padronização'!A:C, 2, FALSE), "")</f>
        <v>⚠️</v>
      </c>
      <c r="F566" s="23" t="str">
        <f>IFERROR(VLOOKUP(G566, 'Padronização'!A:C, 3, FALSE), "")</f>
        <v>Crise explícita com foco em infraestrutura</v>
      </c>
      <c r="G566" s="23" t="s">
        <v>40</v>
      </c>
      <c r="H566" s="33"/>
    </row>
    <row r="567" ht="22.5" customHeight="1">
      <c r="A567" s="4" t="s">
        <v>30</v>
      </c>
      <c r="B567" s="4">
        <v>2022.0</v>
      </c>
      <c r="C567" s="4" t="s">
        <v>33</v>
      </c>
      <c r="D567" s="4" t="s">
        <v>589</v>
      </c>
      <c r="E567" s="4" t="str">
        <f>IFERROR(VLOOKUP(G567, 'Padronização'!A:C, 2, FALSE), "")</f>
        <v>✅</v>
      </c>
      <c r="F567" s="23" t="str">
        <f>IFERROR(VLOOKUP(G567, 'Padronização'!A:C, 3, FALSE), "")</f>
        <v>ABM/MAS focado em comportamento humano cognitivo</v>
      </c>
      <c r="G567" s="23" t="s">
        <v>47</v>
      </c>
      <c r="H567" s="33"/>
    </row>
    <row r="568" ht="22.5" hidden="1" customHeight="1">
      <c r="A568" s="4" t="s">
        <v>30</v>
      </c>
      <c r="B568" s="4">
        <v>2022.0</v>
      </c>
      <c r="C568" s="4" t="s">
        <v>33</v>
      </c>
      <c r="D568" s="4" t="s">
        <v>818</v>
      </c>
      <c r="E568" s="4" t="str">
        <f>IFERROR(VLOOKUP(G568, 'Padronização'!A:C, 2, FALSE), "")</f>
        <v>❌</v>
      </c>
      <c r="F568" s="23" t="str">
        <f>IFERROR(VLOOKUP(G568, 'Padronização'!A:C, 3, FALSE), "")</f>
        <v>Telecomunicações emergenciais / alocação de rede; foco técnico</v>
      </c>
      <c r="G568" s="23" t="s">
        <v>5</v>
      </c>
      <c r="H568" s="33"/>
    </row>
    <row r="569" ht="22.5" hidden="1" customHeight="1">
      <c r="A569" s="4" t="s">
        <v>30</v>
      </c>
      <c r="B569" s="4">
        <v>2022.0</v>
      </c>
      <c r="C569" s="4" t="s">
        <v>33</v>
      </c>
      <c r="D569" s="4" t="s">
        <v>819</v>
      </c>
      <c r="E569" s="4" t="str">
        <f>IFERROR(VLOOKUP(G569, 'Padronização'!A:C, 2, FALSE), "")</f>
        <v>❌</v>
      </c>
      <c r="F569" s="23" t="str">
        <f>IFERROR(VLOOKUP(G569, 'Padronização'!A:C, 3, FALSE), "")</f>
        <v>Telecomunicações emergenciais / alocação de rede; foco técnico</v>
      </c>
      <c r="G569" s="23" t="s">
        <v>5</v>
      </c>
      <c r="H569" s="33"/>
    </row>
    <row r="570" ht="22.5" hidden="1" customHeight="1">
      <c r="A570" s="4" t="s">
        <v>30</v>
      </c>
      <c r="B570" s="4">
        <v>2022.0</v>
      </c>
      <c r="C570" s="4" t="s">
        <v>33</v>
      </c>
      <c r="D570" s="4" t="s">
        <v>821</v>
      </c>
      <c r="E570" s="4" t="str">
        <f>IFERROR(VLOOKUP(G570, 'Padronização'!A:C, 2, FALSE), "")</f>
        <v>⚠️</v>
      </c>
      <c r="F570" s="23" t="str">
        <f>IFERROR(VLOOKUP(G570, 'Padronização'!A:C, 3, FALSE), "")</f>
        <v>Emergência sem evacuação clara</v>
      </c>
      <c r="G570" s="23" t="s">
        <v>43</v>
      </c>
      <c r="H570" s="33"/>
    </row>
    <row r="571" ht="22.5" hidden="1" customHeight="1">
      <c r="A571" s="4" t="s">
        <v>30</v>
      </c>
      <c r="B571" s="4">
        <v>2022.0</v>
      </c>
      <c r="C571" s="4" t="s">
        <v>33</v>
      </c>
      <c r="D571" s="4" t="s">
        <v>822</v>
      </c>
      <c r="E571" s="4" t="str">
        <f>IFERROR(VLOOKUP(G571, 'Padronização'!A:C, 2, FALSE), "")</f>
        <v>❌</v>
      </c>
      <c r="F571" s="23" t="str">
        <f>IFERROR(VLOOKUP(G571, 'Padronização'!A:C, 3, FALSE), "")</f>
        <v>Transporte / tráfego em operação normal</v>
      </c>
      <c r="G571" s="23" t="s">
        <v>19</v>
      </c>
      <c r="H571" s="33"/>
    </row>
    <row r="572" ht="22.5" hidden="1" customHeight="1">
      <c r="A572" s="4" t="s">
        <v>30</v>
      </c>
      <c r="B572" s="4">
        <v>2022.0</v>
      </c>
      <c r="C572" s="4" t="s">
        <v>33</v>
      </c>
      <c r="D572" s="4" t="s">
        <v>825</v>
      </c>
      <c r="E572" s="4" t="str">
        <f>IFERROR(VLOOKUP(G572, 'Padronização'!A:C, 2, FALSE), "")</f>
        <v>⚠️</v>
      </c>
      <c r="F572" s="23" t="str">
        <f>IFERROR(VLOOKUP(G572, 'Padronização'!A:C, 3, FALSE), "")</f>
        <v>Crise explícita com foco em infraestrutura</v>
      </c>
      <c r="G572" s="3" t="s">
        <v>40</v>
      </c>
      <c r="H572" s="33"/>
    </row>
    <row r="573" ht="22.5" hidden="1" customHeight="1">
      <c r="A573" s="4" t="s">
        <v>30</v>
      </c>
      <c r="B573" s="4">
        <v>2022.0</v>
      </c>
      <c r="C573" s="4" t="s">
        <v>33</v>
      </c>
      <c r="D573" s="4" t="s">
        <v>826</v>
      </c>
      <c r="E573" s="4" t="str">
        <f>IFERROR(VLOOKUP(G573, 'Padronização'!A:C, 2, FALSE), "")</f>
        <v>❌</v>
      </c>
      <c r="F573" s="23" t="str">
        <f>IFERROR(VLOOKUP(G573, 'Padronização'!A:C, 3, FALSE), "")</f>
        <v>Telecomunicações emergenciais / alocação de rede; foco técnico</v>
      </c>
      <c r="G573" s="23" t="s">
        <v>5</v>
      </c>
      <c r="H573" s="33"/>
    </row>
    <row r="574" ht="22.5" customHeight="1">
      <c r="A574" s="4" t="s">
        <v>30</v>
      </c>
      <c r="B574" s="4">
        <v>2022.0</v>
      </c>
      <c r="C574" s="4" t="s">
        <v>33</v>
      </c>
      <c r="D574" s="4" t="s">
        <v>593</v>
      </c>
      <c r="E574" s="4" t="str">
        <f>IFERROR(VLOOKUP(G574, 'Padronização'!A:C, 2, FALSE), "")</f>
        <v>✅</v>
      </c>
      <c r="F574" s="23" t="str">
        <f>IFERROR(VLOOKUP(G574, 'Padronização'!A:C, 3, FALSE), "")</f>
        <v>ABM/MAS focado em comportamento humano cognitivo</v>
      </c>
      <c r="G574" s="23" t="s">
        <v>47</v>
      </c>
      <c r="H574" s="33"/>
    </row>
    <row r="575" ht="22.5" customHeight="1">
      <c r="A575" s="4" t="s">
        <v>30</v>
      </c>
      <c r="B575" s="4">
        <v>2022.0</v>
      </c>
      <c r="C575" s="4" t="s">
        <v>33</v>
      </c>
      <c r="D575" s="4" t="s">
        <v>828</v>
      </c>
      <c r="E575" s="4" t="str">
        <f>IFERROR(VLOOKUP(G575, 'Padronização'!A:C, 2, FALSE), "")</f>
        <v>✅</v>
      </c>
      <c r="F575" s="23" t="str">
        <f>IFERROR(VLOOKUP(G575, 'Padronização'!A:C, 3, FALSE), "")</f>
        <v>Grupos vulneráveis em cenários de crise</v>
      </c>
      <c r="G575" s="23" t="s">
        <v>54</v>
      </c>
      <c r="H575" s="33"/>
    </row>
    <row r="576" ht="22.5" customHeight="1">
      <c r="A576" s="4" t="s">
        <v>30</v>
      </c>
      <c r="B576" s="4">
        <v>2022.0</v>
      </c>
      <c r="C576" s="4" t="s">
        <v>33</v>
      </c>
      <c r="D576" s="4" t="s">
        <v>598</v>
      </c>
      <c r="E576" s="4" t="str">
        <f>IFERROR(VLOOKUP(G576, 'Padronização'!A:C, 2, FALSE), "")</f>
        <v>✅</v>
      </c>
      <c r="F576" s="23" t="str">
        <f>IFERROR(VLOOKUP(G576, 'Padronização'!A:C, 3, FALSE), "")</f>
        <v>ABM/MAS aplicado à evacuação</v>
      </c>
      <c r="G576" s="23" t="s">
        <v>45</v>
      </c>
      <c r="H576" s="33"/>
    </row>
    <row r="577" ht="22.5" customHeight="1">
      <c r="A577" s="4" t="s">
        <v>30</v>
      </c>
      <c r="B577" s="4">
        <v>2022.0</v>
      </c>
      <c r="C577" s="4" t="s">
        <v>33</v>
      </c>
      <c r="D577" s="4" t="s">
        <v>830</v>
      </c>
      <c r="E577" s="4" t="str">
        <f>IFERROR(VLOOKUP(G577, 'Padronização'!A:C, 2, FALSE), "")</f>
        <v>✅</v>
      </c>
      <c r="F577" s="23" t="str">
        <f>IFERROR(VLOOKUP(G577, 'Padronização'!A:C, 3, FALSE), "")</f>
        <v>Grupos vulneráveis em cenários de crise</v>
      </c>
      <c r="G577" s="23" t="s">
        <v>54</v>
      </c>
      <c r="H577" s="33"/>
    </row>
    <row r="578" ht="22.5" hidden="1" customHeight="1">
      <c r="A578" s="4" t="s">
        <v>30</v>
      </c>
      <c r="B578" s="4">
        <v>2022.0</v>
      </c>
      <c r="C578" s="4" t="s">
        <v>33</v>
      </c>
      <c r="D578" s="4" t="s">
        <v>831</v>
      </c>
      <c r="E578" s="4" t="str">
        <f>IFERROR(VLOOKUP(G578, 'Padronização'!A:C, 2, FALSE), "")</f>
        <v>❌</v>
      </c>
      <c r="F578" s="23" t="str">
        <f>IFERROR(VLOOKUP(G578, 'Padronização'!A:C, 3, FALSE), "")</f>
        <v>Energia, grid, V2G; crise tratada como operação técnica</v>
      </c>
      <c r="G578" s="23" t="s">
        <v>12</v>
      </c>
      <c r="H578" s="33"/>
    </row>
    <row r="579" ht="22.5" customHeight="1">
      <c r="A579" s="4" t="s">
        <v>30</v>
      </c>
      <c r="B579" s="4">
        <v>2022.0</v>
      </c>
      <c r="C579" s="4" t="s">
        <v>33</v>
      </c>
      <c r="D579" s="4" t="s">
        <v>833</v>
      </c>
      <c r="E579" s="4" t="str">
        <f>IFERROR(VLOOKUP(G579, 'Padronização'!A:C, 2, FALSE), "")</f>
        <v>✅</v>
      </c>
      <c r="F579" s="23" t="str">
        <f>IFERROR(VLOOKUP(G579, 'Padronização'!A:C, 3, FALSE), "")</f>
        <v>ABM/MAS aplicado à evacuação</v>
      </c>
      <c r="G579" s="23" t="s">
        <v>45</v>
      </c>
      <c r="H579" s="33"/>
    </row>
    <row r="580" ht="22.5" customHeight="1">
      <c r="A580" s="4" t="s">
        <v>30</v>
      </c>
      <c r="B580" s="4">
        <v>2022.0</v>
      </c>
      <c r="C580" s="4" t="s">
        <v>33</v>
      </c>
      <c r="D580" s="4" t="s">
        <v>834</v>
      </c>
      <c r="E580" s="4" t="str">
        <f>IFERROR(VLOOKUP(G580, 'Padronização'!A:C, 2, FALSE), "")</f>
        <v>✅</v>
      </c>
      <c r="F580" s="23" t="str">
        <f>IFERROR(VLOOKUP(G580, 'Padronização'!A:C, 3, FALSE), "")</f>
        <v>ABM/MAS focado em comportamento humano cognitivo</v>
      </c>
      <c r="G580" s="3" t="s">
        <v>47</v>
      </c>
      <c r="H580" s="33"/>
    </row>
    <row r="581" ht="22.5" customHeight="1">
      <c r="A581" s="4" t="s">
        <v>30</v>
      </c>
      <c r="B581" s="4">
        <v>2022.0</v>
      </c>
      <c r="C581" s="4" t="s">
        <v>33</v>
      </c>
      <c r="D581" s="4" t="s">
        <v>609</v>
      </c>
      <c r="E581" s="4" t="str">
        <f>IFERROR(VLOOKUP(G581, 'Padronização'!A:C, 2, FALSE), "")</f>
        <v>✅</v>
      </c>
      <c r="F581" s="23" t="str">
        <f>IFERROR(VLOOKUP(G581, 'Padronização'!A:C, 3, FALSE), "")</f>
        <v>Resposta humana a alertas e decisões</v>
      </c>
      <c r="G581" s="23" t="s">
        <v>50</v>
      </c>
      <c r="H581" s="33"/>
    </row>
    <row r="582" ht="22.5" customHeight="1">
      <c r="A582" s="4" t="s">
        <v>30</v>
      </c>
      <c r="B582" s="4">
        <v>2022.0</v>
      </c>
      <c r="C582" s="4" t="s">
        <v>33</v>
      </c>
      <c r="D582" s="4" t="s">
        <v>836</v>
      </c>
      <c r="E582" s="4" t="str">
        <f>IFERROR(VLOOKUP(G582, 'Padronização'!A:C, 2, FALSE), "")</f>
        <v>✅</v>
      </c>
      <c r="F582" s="23" t="str">
        <f>IFERROR(VLOOKUP(G582, 'Padronização'!A:C, 3, FALSE), "")</f>
        <v>Resposta humana a alertas e decisões</v>
      </c>
      <c r="G582" s="23" t="s">
        <v>50</v>
      </c>
      <c r="H582" s="33"/>
    </row>
    <row r="583" ht="22.5" customHeight="1">
      <c r="A583" s="4" t="s">
        <v>30</v>
      </c>
      <c r="B583" s="4">
        <v>2022.0</v>
      </c>
      <c r="C583" s="4" t="s">
        <v>33</v>
      </c>
      <c r="D583" s="4" t="s">
        <v>611</v>
      </c>
      <c r="E583" s="4" t="str">
        <f>IFERROR(VLOOKUP(G583, 'Padronização'!A:C, 2, FALSE), "")</f>
        <v>✅</v>
      </c>
      <c r="F583" s="23" t="str">
        <f>IFERROR(VLOOKUP(G583, 'Padronização'!A:C, 3, FALSE), "")</f>
        <v>ABM/MAS focado em comportamento humano cognitivo</v>
      </c>
      <c r="G583" s="23" t="s">
        <v>47</v>
      </c>
      <c r="H583" s="33"/>
    </row>
    <row r="584" ht="22.5" customHeight="1">
      <c r="A584" s="4" t="s">
        <v>30</v>
      </c>
      <c r="B584" s="4">
        <v>2022.0</v>
      </c>
      <c r="C584" s="4" t="s">
        <v>33</v>
      </c>
      <c r="D584" s="4" t="s">
        <v>838</v>
      </c>
      <c r="E584" s="4" t="str">
        <f>IFERROR(VLOOKUP(G584, 'Padronização'!A:C, 2, FALSE), "")</f>
        <v>✅</v>
      </c>
      <c r="F584" s="23" t="str">
        <f>IFERROR(VLOOKUP(G584, 'Padronização'!A:C, 3, FALSE), "")</f>
        <v>ABM/MAS aplicado à evacuação</v>
      </c>
      <c r="G584" s="23" t="s">
        <v>45</v>
      </c>
      <c r="H584" s="33"/>
    </row>
    <row r="585" ht="22.5" customHeight="1">
      <c r="A585" s="4" t="s">
        <v>30</v>
      </c>
      <c r="B585" s="4">
        <v>2022.0</v>
      </c>
      <c r="C585" s="4" t="s">
        <v>33</v>
      </c>
      <c r="D585" s="4" t="s">
        <v>839</v>
      </c>
      <c r="E585" s="4" t="str">
        <f>IFERROR(VLOOKUP(G585, 'Padronização'!A:C, 2, FALSE), "")</f>
        <v>✅</v>
      </c>
      <c r="F585" s="23" t="str">
        <f>IFERROR(VLOOKUP(G585, 'Padronização'!A:C, 3, FALSE), "")</f>
        <v>ABM/MAS focado em comportamento humano cognitivo</v>
      </c>
      <c r="G585" s="23" t="s">
        <v>47</v>
      </c>
      <c r="H585" s="33"/>
    </row>
    <row r="586" ht="22.5" hidden="1" customHeight="1">
      <c r="A586" s="4" t="s">
        <v>30</v>
      </c>
      <c r="B586" s="4">
        <v>2022.0</v>
      </c>
      <c r="C586" s="4" t="s">
        <v>33</v>
      </c>
      <c r="D586" s="4" t="s">
        <v>840</v>
      </c>
      <c r="E586" s="4" t="str">
        <f>IFERROR(VLOOKUP(G586, 'Padronização'!A:C, 2, FALSE), "")</f>
        <v>⚠️</v>
      </c>
      <c r="F586" s="23" t="str">
        <f>IFERROR(VLOOKUP(G586, 'Padronização'!A:C, 3, FALSE), "")</f>
        <v>Emergência com evacuação específica</v>
      </c>
      <c r="G586" s="23" t="s">
        <v>57</v>
      </c>
      <c r="H586" s="33"/>
    </row>
    <row r="587" ht="22.5" hidden="1" customHeight="1">
      <c r="A587" s="4" t="s">
        <v>30</v>
      </c>
      <c r="B587" s="4">
        <v>2022.0</v>
      </c>
      <c r="C587" s="4" t="s">
        <v>33</v>
      </c>
      <c r="D587" s="4" t="s">
        <v>842</v>
      </c>
      <c r="E587" s="4" t="str">
        <f>IFERROR(VLOOKUP(G587, 'Padronização'!A:C, 2, FALSE), "")</f>
        <v>❌</v>
      </c>
      <c r="F587" s="23" t="str">
        <f>IFERROR(VLOOKUP(G587, 'Padronização'!A:C, 3, FALSE), "")</f>
        <v>Transporte / tráfego em operação normal</v>
      </c>
      <c r="G587" s="3" t="s">
        <v>19</v>
      </c>
      <c r="H587" s="33"/>
    </row>
    <row r="588" ht="22.5" hidden="1" customHeight="1">
      <c r="A588" s="4" t="s">
        <v>30</v>
      </c>
      <c r="B588" s="4">
        <v>2022.0</v>
      </c>
      <c r="C588" s="4" t="s">
        <v>33</v>
      </c>
      <c r="D588" s="4" t="s">
        <v>843</v>
      </c>
      <c r="E588" s="4" t="str">
        <f>IFERROR(VLOOKUP(G588, 'Padronização'!A:C, 2, FALSE), "")</f>
        <v>❌</v>
      </c>
      <c r="F588" s="23" t="str">
        <f>IFERROR(VLOOKUP(G588, 'Padronização'!A:C, 3, FALSE), "")</f>
        <v>Emergência em saúde com foco operacional / Operação hospitalar</v>
      </c>
      <c r="G588" s="23" t="s">
        <v>38</v>
      </c>
      <c r="H588" s="33"/>
    </row>
    <row r="589" ht="22.5" hidden="1" customHeight="1">
      <c r="A589" s="4" t="s">
        <v>30</v>
      </c>
      <c r="B589" s="4">
        <v>2022.0</v>
      </c>
      <c r="C589" s="4" t="s">
        <v>33</v>
      </c>
      <c r="D589" s="4" t="s">
        <v>845</v>
      </c>
      <c r="E589" s="4" t="str">
        <f>IFERROR(VLOOKUP(G589, 'Padronização'!A:C, 2, FALSE), "")</f>
        <v>⚠️</v>
      </c>
      <c r="F589" s="23" t="str">
        <f>IFERROR(VLOOKUP(G589, 'Padronização'!A:C, 3, FALSE), "")</f>
        <v>Emergência sem evacuação clara</v>
      </c>
      <c r="G589" s="23" t="s">
        <v>43</v>
      </c>
      <c r="H589" s="33"/>
    </row>
    <row r="590" ht="22.5" hidden="1" customHeight="1">
      <c r="A590" s="4" t="s">
        <v>30</v>
      </c>
      <c r="B590" s="4">
        <v>2022.0</v>
      </c>
      <c r="C590" s="4" t="s">
        <v>33</v>
      </c>
      <c r="D590" s="4" t="s">
        <v>846</v>
      </c>
      <c r="E590" s="4" t="str">
        <f>IFERROR(VLOOKUP(G590, 'Padronização'!A:C, 2, FALSE), "")</f>
        <v>⚠️</v>
      </c>
      <c r="F590" s="23" t="str">
        <f>IFERROR(VLOOKUP(G590, 'Padronização'!A:C, 3, FALSE), "")</f>
        <v>Emergência com evacuação específica</v>
      </c>
      <c r="G590" s="23" t="s">
        <v>57</v>
      </c>
      <c r="H590" s="33"/>
    </row>
    <row r="591" ht="22.5" customHeight="1">
      <c r="A591" s="4" t="s">
        <v>30</v>
      </c>
      <c r="B591" s="4">
        <v>2022.0</v>
      </c>
      <c r="C591" s="4" t="s">
        <v>33</v>
      </c>
      <c r="D591" s="4" t="s">
        <v>615</v>
      </c>
      <c r="E591" s="4" t="str">
        <f>IFERROR(VLOOKUP(G591, 'Padronização'!A:C, 2, FALSE), "")</f>
        <v>✅</v>
      </c>
      <c r="F591" s="23" t="str">
        <f>IFERROR(VLOOKUP(G591, 'Padronização'!A:C, 3, FALSE), "")</f>
        <v>ABM/MAS focado em comportamento humano cognitivo</v>
      </c>
      <c r="G591" s="23" t="s">
        <v>47</v>
      </c>
      <c r="H591" s="33"/>
    </row>
    <row r="592" ht="22.5" hidden="1" customHeight="1">
      <c r="A592" s="4" t="s">
        <v>30</v>
      </c>
      <c r="B592" s="4">
        <v>2022.0</v>
      </c>
      <c r="C592" s="4" t="s">
        <v>33</v>
      </c>
      <c r="D592" s="4" t="s">
        <v>847</v>
      </c>
      <c r="E592" s="4" t="str">
        <f>IFERROR(VLOOKUP(G592, 'Padronização'!A:C, 2, FALSE), "")</f>
        <v>⚠️</v>
      </c>
      <c r="F592" s="23" t="str">
        <f>IFERROR(VLOOKUP(G592, 'Padronização'!A:C, 3, FALSE), "")</f>
        <v>Emergência sem evacuação clara</v>
      </c>
      <c r="G592" s="23" t="s">
        <v>43</v>
      </c>
      <c r="H592" s="33"/>
    </row>
    <row r="593" ht="22.5" hidden="1" customHeight="1">
      <c r="A593" s="4" t="s">
        <v>30</v>
      </c>
      <c r="B593" s="4">
        <v>2022.0</v>
      </c>
      <c r="C593" s="4" t="s">
        <v>33</v>
      </c>
      <c r="D593" s="4" t="s">
        <v>849</v>
      </c>
      <c r="E593" s="4" t="str">
        <f>IFERROR(VLOOKUP(G593, 'Padronização'!A:C, 2, FALSE), "")</f>
        <v>❌</v>
      </c>
      <c r="F593" s="23" t="str">
        <f>IFERROR(VLOOKUP(G593, 'Padronização'!A:C, 3, FALSE), "")</f>
        <v>Emergência em saúde com foco operacional / Operação hospitalar</v>
      </c>
      <c r="G593" s="3" t="s">
        <v>38</v>
      </c>
      <c r="H593" s="33"/>
    </row>
    <row r="594" ht="22.5" hidden="1" customHeight="1">
      <c r="A594" s="4" t="s">
        <v>30</v>
      </c>
      <c r="B594" s="4">
        <v>2022.0</v>
      </c>
      <c r="C594" s="4" t="s">
        <v>33</v>
      </c>
      <c r="D594" s="4" t="s">
        <v>850</v>
      </c>
      <c r="E594" s="4" t="str">
        <f>IFERROR(VLOOKUP(G594, 'Padronização'!A:C, 2, FALSE), "")</f>
        <v>⚠️</v>
      </c>
      <c r="F594" s="23" t="str">
        <f>IFERROR(VLOOKUP(G594, 'Padronização'!A:C, 3, FALSE), "")</f>
        <v>Crise explícita com foco em infraestrutura</v>
      </c>
      <c r="G594" s="23" t="s">
        <v>40</v>
      </c>
      <c r="H594" s="33"/>
    </row>
    <row r="595" ht="22.5" hidden="1" customHeight="1">
      <c r="A595" s="4" t="s">
        <v>30</v>
      </c>
      <c r="B595" s="4">
        <v>2022.0</v>
      </c>
      <c r="C595" s="4" t="s">
        <v>33</v>
      </c>
      <c r="D595" s="4" t="s">
        <v>852</v>
      </c>
      <c r="E595" s="4" t="str">
        <f>IFERROR(VLOOKUP(G595, 'Padronização'!A:C, 2, FALSE), "")</f>
        <v>❌</v>
      </c>
      <c r="F595" s="23" t="str">
        <f>IFERROR(VLOOKUP(G595, 'Padronização'!A:C, 3, FALSE), "")</f>
        <v>Não aborda cenário de crise ou desastre</v>
      </c>
      <c r="G595" s="3" t="s">
        <v>31</v>
      </c>
      <c r="H595" s="33"/>
    </row>
    <row r="596" ht="22.5" customHeight="1">
      <c r="A596" s="4" t="s">
        <v>30</v>
      </c>
      <c r="B596" s="4">
        <v>2022.0</v>
      </c>
      <c r="C596" s="4" t="s">
        <v>33</v>
      </c>
      <c r="D596" s="4" t="s">
        <v>853</v>
      </c>
      <c r="E596" s="4" t="str">
        <f>IFERROR(VLOOKUP(G596, 'Padronização'!A:C, 2, FALSE), "")</f>
        <v>✅</v>
      </c>
      <c r="F596" s="23" t="str">
        <f>IFERROR(VLOOKUP(G596, 'Padronização'!A:C, 3, FALSE), "")</f>
        <v>ABM/MAS focado em comportamento humano cognitivo</v>
      </c>
      <c r="G596" s="23" t="s">
        <v>47</v>
      </c>
      <c r="H596" s="33"/>
    </row>
    <row r="597" ht="22.5" customHeight="1">
      <c r="A597" s="4" t="s">
        <v>30</v>
      </c>
      <c r="B597" s="4">
        <v>2022.0</v>
      </c>
      <c r="C597" s="4" t="s">
        <v>33</v>
      </c>
      <c r="D597" s="4" t="s">
        <v>619</v>
      </c>
      <c r="E597" s="4" t="str">
        <f>IFERROR(VLOOKUP(G597, 'Padronização'!A:C, 2, FALSE), "")</f>
        <v>✅</v>
      </c>
      <c r="F597" s="23" t="str">
        <f>IFERROR(VLOOKUP(G597, 'Padronização'!A:C, 3, FALSE), "")</f>
        <v>ABM/MAS aplicado à evacuação</v>
      </c>
      <c r="G597" s="3" t="s">
        <v>45</v>
      </c>
      <c r="H597" s="33"/>
    </row>
    <row r="598" ht="22.5" customHeight="1">
      <c r="A598" s="4" t="s">
        <v>30</v>
      </c>
      <c r="B598" s="4">
        <v>2022.0</v>
      </c>
      <c r="C598" s="4" t="s">
        <v>33</v>
      </c>
      <c r="D598" s="4" t="s">
        <v>165</v>
      </c>
      <c r="E598" s="4" t="str">
        <f>IFERROR(VLOOKUP(G598, 'Padronização'!A:C, 2, FALSE), "")</f>
        <v>✅</v>
      </c>
      <c r="F598" s="23" t="str">
        <f>IFERROR(VLOOKUP(G598, 'Padronização'!A:C, 3, FALSE), "")</f>
        <v>ABM/MAS focado em comportamento humano cognitivo</v>
      </c>
      <c r="G598" s="23" t="s">
        <v>47</v>
      </c>
      <c r="H598" s="33"/>
    </row>
    <row r="599" ht="22.5" hidden="1" customHeight="1">
      <c r="A599" s="4" t="s">
        <v>30</v>
      </c>
      <c r="B599" s="4">
        <v>2022.0</v>
      </c>
      <c r="C599" s="4" t="s">
        <v>33</v>
      </c>
      <c r="D599" s="4" t="s">
        <v>856</v>
      </c>
      <c r="E599" s="4" t="str">
        <f>IFERROR(VLOOKUP(G599, 'Padronização'!A:C, 2, FALSE), "")</f>
        <v>❌</v>
      </c>
      <c r="F599" s="23" t="str">
        <f>IFERROR(VLOOKUP(G599, 'Padronização'!A:C, 3, FALSE), "")</f>
        <v>Não aborda cenário de crise ou desastre</v>
      </c>
      <c r="G599" s="3" t="s">
        <v>31</v>
      </c>
      <c r="H599" s="33"/>
    </row>
    <row r="600" ht="22.5" hidden="1" customHeight="1">
      <c r="A600" s="4" t="s">
        <v>30</v>
      </c>
      <c r="B600" s="4">
        <v>2022.0</v>
      </c>
      <c r="C600" s="4" t="s">
        <v>33</v>
      </c>
      <c r="D600" s="4" t="s">
        <v>857</v>
      </c>
      <c r="E600" s="4" t="str">
        <f>IFERROR(VLOOKUP(G600, 'Padronização'!A:C, 2, FALSE), "")</f>
        <v>❌</v>
      </c>
      <c r="F600" s="23" t="str">
        <f>IFERROR(VLOOKUP(G600, 'Padronização'!A:C, 3, FALSE), "")</f>
        <v>Telecomunicações emergenciais / alocação de rede; foco técnico</v>
      </c>
      <c r="G600" s="3" t="s">
        <v>5</v>
      </c>
      <c r="H600" s="33"/>
    </row>
    <row r="601" ht="22.5" customHeight="1">
      <c r="A601" s="4" t="s">
        <v>30</v>
      </c>
      <c r="B601" s="4">
        <v>2022.0</v>
      </c>
      <c r="C601" s="4" t="s">
        <v>33</v>
      </c>
      <c r="D601" s="4" t="s">
        <v>170</v>
      </c>
      <c r="E601" s="4" t="str">
        <f>IFERROR(VLOOKUP(G601, 'Padronização'!A:C, 2, FALSE), "")</f>
        <v>✅</v>
      </c>
      <c r="F601" s="23" t="str">
        <f>IFERROR(VLOOKUP(G601, 'Padronização'!A:C, 3, FALSE), "")</f>
        <v>ABM/MAS aplicado à evacuação</v>
      </c>
      <c r="G601" s="3" t="s">
        <v>45</v>
      </c>
      <c r="H601" s="33"/>
    </row>
    <row r="602" ht="22.5" hidden="1" customHeight="1">
      <c r="A602" s="4" t="s">
        <v>30</v>
      </c>
      <c r="B602" s="4">
        <v>2022.0</v>
      </c>
      <c r="C602" s="4" t="s">
        <v>33</v>
      </c>
      <c r="D602" s="4" t="s">
        <v>858</v>
      </c>
      <c r="E602" s="4" t="str">
        <f>IFERROR(VLOOKUP(G602, 'Padronização'!A:C, 2, FALSE), "")</f>
        <v>⚠️</v>
      </c>
      <c r="F602" s="23" t="str">
        <f>IFERROR(VLOOKUP(G602, 'Padronização'!A:C, 3, FALSE), "")</f>
        <v>Emergência com evacuação específica</v>
      </c>
      <c r="G602" s="23" t="s">
        <v>57</v>
      </c>
      <c r="H602" s="33"/>
    </row>
    <row r="603" ht="22.5" customHeight="1">
      <c r="A603" s="4" t="s">
        <v>30</v>
      </c>
      <c r="B603" s="4">
        <v>2022.0</v>
      </c>
      <c r="C603" s="4" t="s">
        <v>33</v>
      </c>
      <c r="D603" s="4" t="s">
        <v>859</v>
      </c>
      <c r="E603" s="4" t="str">
        <f>IFERROR(VLOOKUP(G603, 'Padronização'!A:C, 2, FALSE), "")</f>
        <v>✅</v>
      </c>
      <c r="F603" s="23" t="str">
        <f>IFERROR(VLOOKUP(G603, 'Padronização'!A:C, 3, FALSE), "")</f>
        <v>ABM/MAS focado em comportamento humano cognitivo</v>
      </c>
      <c r="G603" s="3" t="s">
        <v>47</v>
      </c>
      <c r="H603" s="33"/>
    </row>
    <row r="604" ht="22.5" hidden="1" customHeight="1">
      <c r="A604" s="4" t="s">
        <v>30</v>
      </c>
      <c r="B604" s="4">
        <v>2022.0</v>
      </c>
      <c r="C604" s="4" t="s">
        <v>33</v>
      </c>
      <c r="D604" s="4" t="s">
        <v>860</v>
      </c>
      <c r="E604" s="4" t="str">
        <f>IFERROR(VLOOKUP(G604, 'Padronização'!A:C, 2, FALSE), "")</f>
        <v>❌</v>
      </c>
      <c r="F604" s="23" t="str">
        <f>IFERROR(VLOOKUP(G604, 'Padronização'!A:C, 3, FALSE), "")</f>
        <v>Não aborda cenário de crise ou desastre</v>
      </c>
      <c r="G604" s="3" t="s">
        <v>31</v>
      </c>
      <c r="H604" s="33"/>
    </row>
    <row r="605" ht="22.5" hidden="1" customHeight="1">
      <c r="A605" s="4" t="s">
        <v>30</v>
      </c>
      <c r="B605" s="4">
        <v>2022.0</v>
      </c>
      <c r="C605" s="4" t="s">
        <v>33</v>
      </c>
      <c r="D605" s="4" t="s">
        <v>861</v>
      </c>
      <c r="E605" s="4" t="str">
        <f>IFERROR(VLOOKUP(G605, 'Padronização'!A:C, 2, FALSE), "")</f>
        <v>❌</v>
      </c>
      <c r="F605" s="23" t="str">
        <f>IFERROR(VLOOKUP(G605, 'Padronização'!A:C, 3, FALSE), "")</f>
        <v>Supply chain / impacto econômico indireto</v>
      </c>
      <c r="G605" s="3" t="s">
        <v>34</v>
      </c>
      <c r="H605" s="33"/>
    </row>
    <row r="606" ht="22.5" hidden="1" customHeight="1">
      <c r="A606" s="4" t="s">
        <v>30</v>
      </c>
      <c r="B606" s="4">
        <v>2022.0</v>
      </c>
      <c r="C606" s="4" t="s">
        <v>87</v>
      </c>
      <c r="D606" s="4" t="s">
        <v>863</v>
      </c>
      <c r="E606" s="4" t="str">
        <f>IFERROR(VLOOKUP(G606, 'Padronização'!A:C, 2, FALSE), "")</f>
        <v>⚠️</v>
      </c>
      <c r="F606" s="23" t="str">
        <f>IFERROR(VLOOKUP(G606, 'Padronização'!A:C, 3, FALSE), "")</f>
        <v>Emergência com evacuação específica</v>
      </c>
      <c r="G606" s="3" t="s">
        <v>57</v>
      </c>
      <c r="H606" s="33"/>
    </row>
    <row r="607" ht="22.5" hidden="1" customHeight="1">
      <c r="A607" s="4" t="s">
        <v>30</v>
      </c>
      <c r="B607" s="4">
        <v>2022.0</v>
      </c>
      <c r="C607" s="4" t="s">
        <v>87</v>
      </c>
      <c r="D607" s="4" t="s">
        <v>864</v>
      </c>
      <c r="E607" s="4" t="str">
        <f>IFERROR(VLOOKUP(G607, 'Padronização'!A:C, 2, FALSE), "")</f>
        <v>⚠️</v>
      </c>
      <c r="F607" s="23" t="str">
        <f>IFERROR(VLOOKUP(G607, 'Padronização'!A:C, 3, FALSE), "")</f>
        <v>Emergência com evacuação específica</v>
      </c>
      <c r="G607" s="23" t="s">
        <v>57</v>
      </c>
      <c r="H607" s="33"/>
    </row>
    <row r="608" ht="22.5" customHeight="1">
      <c r="A608" s="4" t="s">
        <v>30</v>
      </c>
      <c r="B608" s="4">
        <v>2022.0</v>
      </c>
      <c r="C608" s="4" t="s">
        <v>87</v>
      </c>
      <c r="D608" s="4" t="s">
        <v>624</v>
      </c>
      <c r="E608" s="4" t="str">
        <f>IFERROR(VLOOKUP(G608, 'Padronização'!A:C, 2, FALSE), "")</f>
        <v>✅</v>
      </c>
      <c r="F608" s="23" t="str">
        <f>IFERROR(VLOOKUP(G608, 'Padronização'!A:C, 3, FALSE), "")</f>
        <v>ABM/MAS aplicado à evacuação</v>
      </c>
      <c r="G608" s="3" t="s">
        <v>45</v>
      </c>
      <c r="H608" s="33"/>
    </row>
    <row r="609" ht="22.5" customHeight="1">
      <c r="A609" s="4" t="s">
        <v>30</v>
      </c>
      <c r="B609" s="4">
        <v>2022.0</v>
      </c>
      <c r="C609" s="4" t="s">
        <v>33</v>
      </c>
      <c r="D609" s="4" t="s">
        <v>626</v>
      </c>
      <c r="E609" s="4" t="str">
        <f>IFERROR(VLOOKUP(G609, 'Padronização'!A:C, 2, FALSE), "")</f>
        <v>✅</v>
      </c>
      <c r="F609" s="23" t="str">
        <f>IFERROR(VLOOKUP(G609, 'Padronização'!A:C, 3, FALSE), "")</f>
        <v>ABM/MAS aplicado à evacuação</v>
      </c>
      <c r="G609" s="3" t="s">
        <v>45</v>
      </c>
      <c r="H609" s="33"/>
    </row>
    <row r="610" ht="22.5" customHeight="1">
      <c r="A610" s="4" t="s">
        <v>30</v>
      </c>
      <c r="B610" s="4">
        <v>2022.0</v>
      </c>
      <c r="C610" s="4" t="s">
        <v>87</v>
      </c>
      <c r="D610" s="4" t="s">
        <v>629</v>
      </c>
      <c r="E610" s="4" t="str">
        <f>IFERROR(VLOOKUP(G610, 'Padronização'!A:C, 2, FALSE), "")</f>
        <v>✅</v>
      </c>
      <c r="F610" s="23" t="str">
        <f>IFERROR(VLOOKUP(G610, 'Padronização'!A:C, 3, FALSE), "")</f>
        <v>ABM/MAS aplicado à evacuação</v>
      </c>
      <c r="G610" s="23" t="s">
        <v>45</v>
      </c>
      <c r="H610" s="33"/>
    </row>
    <row r="611" ht="22.5" hidden="1" customHeight="1">
      <c r="A611" s="4" t="s">
        <v>30</v>
      </c>
      <c r="B611" s="4">
        <v>2022.0</v>
      </c>
      <c r="C611" s="4" t="s">
        <v>87</v>
      </c>
      <c r="D611" s="4" t="s">
        <v>867</v>
      </c>
      <c r="E611" s="4" t="str">
        <f>IFERROR(VLOOKUP(G611, 'Padronização'!A:C, 2, FALSE), "")</f>
        <v>⚠️</v>
      </c>
      <c r="F611" s="23" t="str">
        <f>IFERROR(VLOOKUP(G611, 'Padronização'!A:C, 3, FALSE), "")</f>
        <v>Emergência com evacuação específica</v>
      </c>
      <c r="G611" s="23" t="s">
        <v>57</v>
      </c>
      <c r="H611" s="33"/>
    </row>
    <row r="612" ht="22.5" hidden="1" customHeight="1">
      <c r="A612" s="4" t="s">
        <v>30</v>
      </c>
      <c r="B612" s="4">
        <v>2022.0</v>
      </c>
      <c r="C612" s="4" t="s">
        <v>87</v>
      </c>
      <c r="D612" s="4" t="s">
        <v>868</v>
      </c>
      <c r="E612" s="4" t="str">
        <f>IFERROR(VLOOKUP(G612, 'Padronização'!A:C, 2, FALSE), "")</f>
        <v>⚠️</v>
      </c>
      <c r="F612" s="23" t="str">
        <f>IFERROR(VLOOKUP(G612, 'Padronização'!A:C, 3, FALSE), "")</f>
        <v>Emergência com evacuação específica</v>
      </c>
      <c r="G612" s="23" t="s">
        <v>57</v>
      </c>
      <c r="H612" s="33"/>
    </row>
    <row r="613" ht="22.5" customHeight="1">
      <c r="A613" s="4" t="s">
        <v>30</v>
      </c>
      <c r="B613" s="4">
        <v>2022.0</v>
      </c>
      <c r="C613" s="4" t="s">
        <v>87</v>
      </c>
      <c r="D613" s="4" t="s">
        <v>633</v>
      </c>
      <c r="E613" s="4" t="str">
        <f>IFERROR(VLOOKUP(G613, 'Padronização'!A:C, 2, FALSE), "")</f>
        <v>✅</v>
      </c>
      <c r="F613" s="23" t="str">
        <f>IFERROR(VLOOKUP(G613, 'Padronização'!A:C, 3, FALSE), "")</f>
        <v>ABM/MAS focado em comportamento humano cognitivo</v>
      </c>
      <c r="G613" s="23" t="s">
        <v>47</v>
      </c>
      <c r="H613" s="33"/>
    </row>
    <row r="614" ht="22.5" customHeight="1">
      <c r="A614" s="4" t="s">
        <v>30</v>
      </c>
      <c r="B614" s="4">
        <v>2022.0</v>
      </c>
      <c r="C614" s="4" t="s">
        <v>87</v>
      </c>
      <c r="D614" s="4" t="s">
        <v>870</v>
      </c>
      <c r="E614" s="4" t="str">
        <f>IFERROR(VLOOKUP(G614, 'Padronização'!A:C, 2, FALSE), "")</f>
        <v>✅</v>
      </c>
      <c r="F614" s="23" t="str">
        <f>IFERROR(VLOOKUP(G614, 'Padronização'!A:C, 3, FALSE), "")</f>
        <v>ABM/MAS focado em comportamento humano cognitivo</v>
      </c>
      <c r="G614" s="23" t="s">
        <v>47</v>
      </c>
      <c r="H614" s="33"/>
    </row>
    <row r="615" ht="22.5" customHeight="1">
      <c r="A615" s="4" t="s">
        <v>30</v>
      </c>
      <c r="B615" s="4">
        <v>2022.0</v>
      </c>
      <c r="C615" s="4" t="s">
        <v>33</v>
      </c>
      <c r="D615" s="4" t="s">
        <v>872</v>
      </c>
      <c r="E615" s="4" t="str">
        <f>IFERROR(VLOOKUP(G615, 'Padronização'!A:C, 2, FALSE), "")</f>
        <v>✅</v>
      </c>
      <c r="F615" s="23" t="str">
        <f>IFERROR(VLOOKUP(G615, 'Padronização'!A:C, 3, FALSE), "")</f>
        <v>Resposta humana a alertas e decisões</v>
      </c>
      <c r="G615" s="3" t="s">
        <v>50</v>
      </c>
      <c r="H615" s="33"/>
    </row>
    <row r="616" ht="22.5" customHeight="1">
      <c r="A616" s="4" t="s">
        <v>30</v>
      </c>
      <c r="B616" s="4">
        <v>2022.0</v>
      </c>
      <c r="C616" s="4" t="s">
        <v>87</v>
      </c>
      <c r="D616" s="4" t="s">
        <v>644</v>
      </c>
      <c r="E616" s="4" t="str">
        <f>IFERROR(VLOOKUP(G616, 'Padronização'!A:C, 2, FALSE), "")</f>
        <v>✅</v>
      </c>
      <c r="F616" s="23" t="str">
        <f>IFERROR(VLOOKUP(G616, 'Padronização'!A:C, 3, FALSE), "")</f>
        <v>Resposta humana a alertas e decisões</v>
      </c>
      <c r="G616" s="3" t="s">
        <v>50</v>
      </c>
      <c r="H616" s="33"/>
    </row>
    <row r="617" ht="22.5" customHeight="1">
      <c r="A617" s="4" t="s">
        <v>30</v>
      </c>
      <c r="B617" s="4">
        <v>2022.0</v>
      </c>
      <c r="C617" s="4" t="s">
        <v>33</v>
      </c>
      <c r="D617" s="4" t="s">
        <v>646</v>
      </c>
      <c r="E617" s="4" t="str">
        <f>IFERROR(VLOOKUP(G617, 'Padronização'!A:C, 2, FALSE), "")</f>
        <v>✅</v>
      </c>
      <c r="F617" s="23" t="str">
        <f>IFERROR(VLOOKUP(G617, 'Padronização'!A:C, 3, FALSE), "")</f>
        <v>ABM/MAS focado em comportamento humano cognitivo</v>
      </c>
      <c r="G617" s="23" t="s">
        <v>47</v>
      </c>
      <c r="H617" s="33"/>
    </row>
    <row r="618" ht="22.5" customHeight="1">
      <c r="A618" s="4" t="s">
        <v>30</v>
      </c>
      <c r="B618" s="4">
        <v>2022.0</v>
      </c>
      <c r="C618" s="4" t="s">
        <v>390</v>
      </c>
      <c r="D618" s="4" t="s">
        <v>874</v>
      </c>
      <c r="E618" s="4" t="str">
        <f>IFERROR(VLOOKUP(G618, 'Padronização'!A:C, 2, FALSE), "")</f>
        <v>✅</v>
      </c>
      <c r="F618" s="23" t="str">
        <f>IFERROR(VLOOKUP(G618, 'Padronização'!A:C, 3, FALSE), "")</f>
        <v>ABM/MAS aplicado à evacuação</v>
      </c>
      <c r="G618" s="3" t="s">
        <v>45</v>
      </c>
      <c r="H618" s="33"/>
    </row>
    <row r="619" ht="22.5" customHeight="1">
      <c r="A619" s="4" t="s">
        <v>30</v>
      </c>
      <c r="B619" s="4">
        <v>2022.0</v>
      </c>
      <c r="C619" s="4" t="s">
        <v>87</v>
      </c>
      <c r="D619" s="4" t="s">
        <v>651</v>
      </c>
      <c r="E619" s="4" t="str">
        <f>IFERROR(VLOOKUP(G619, 'Padronização'!A:C, 2, FALSE), "")</f>
        <v>✅</v>
      </c>
      <c r="F619" s="23" t="str">
        <f>IFERROR(VLOOKUP(G619, 'Padronização'!A:C, 3, FALSE), "")</f>
        <v>ABM/MAS aplicado à evacuação</v>
      </c>
      <c r="G619" s="3" t="s">
        <v>45</v>
      </c>
      <c r="H619" s="33"/>
    </row>
    <row r="620" ht="22.5" customHeight="1">
      <c r="A620" s="4" t="s">
        <v>30</v>
      </c>
      <c r="B620" s="4">
        <v>2022.0</v>
      </c>
      <c r="C620" s="4" t="s">
        <v>87</v>
      </c>
      <c r="D620" s="4" t="s">
        <v>653</v>
      </c>
      <c r="E620" s="4" t="str">
        <f>IFERROR(VLOOKUP(G620, 'Padronização'!A:C, 2, FALSE), "")</f>
        <v>✅</v>
      </c>
      <c r="F620" s="23" t="str">
        <f>IFERROR(VLOOKUP(G620, 'Padronização'!A:C, 3, FALSE), "")</f>
        <v>ABM/MAS aplicado à evacuação</v>
      </c>
      <c r="G620" s="3" t="s">
        <v>45</v>
      </c>
      <c r="H620" s="33"/>
    </row>
    <row r="621" ht="22.5" customHeight="1">
      <c r="A621" s="4" t="s">
        <v>30</v>
      </c>
      <c r="B621" s="4">
        <v>2022.0</v>
      </c>
      <c r="C621" s="4" t="s">
        <v>87</v>
      </c>
      <c r="D621" s="4" t="s">
        <v>875</v>
      </c>
      <c r="E621" s="4" t="str">
        <f>IFERROR(VLOOKUP(G621, 'Padronização'!A:C, 2, FALSE), "")</f>
        <v>✅</v>
      </c>
      <c r="F621" s="23" t="str">
        <f>IFERROR(VLOOKUP(G621, 'Padronização'!A:C, 3, FALSE), "")</f>
        <v>ABM/MAS aplicado à evacuação</v>
      </c>
      <c r="G621" s="23" t="s">
        <v>45</v>
      </c>
      <c r="H621" s="33"/>
    </row>
    <row r="622" ht="22.5" customHeight="1">
      <c r="A622" s="4" t="s">
        <v>30</v>
      </c>
      <c r="B622" s="4">
        <v>2022.0</v>
      </c>
      <c r="C622" s="4" t="s">
        <v>33</v>
      </c>
      <c r="D622" s="4" t="s">
        <v>876</v>
      </c>
      <c r="E622" s="4" t="str">
        <f>IFERROR(VLOOKUP(G622, 'Padronização'!A:C, 2, FALSE), "")</f>
        <v>✅</v>
      </c>
      <c r="F622" s="23" t="str">
        <f>IFERROR(VLOOKUP(G622, 'Padronização'!A:C, 3, FALSE), "")</f>
        <v>ABM/MAS focado em comportamento humano cognitivo</v>
      </c>
      <c r="G622" s="3" t="s">
        <v>47</v>
      </c>
      <c r="H622" s="33"/>
    </row>
    <row r="623" ht="22.5" customHeight="1">
      <c r="A623" s="4" t="s">
        <v>30</v>
      </c>
      <c r="B623" s="4">
        <v>2022.0</v>
      </c>
      <c r="C623" s="4" t="s">
        <v>87</v>
      </c>
      <c r="D623" s="4" t="s">
        <v>877</v>
      </c>
      <c r="E623" s="4" t="str">
        <f>IFERROR(VLOOKUP(G623, 'Padronização'!A:C, 2, FALSE), "")</f>
        <v>✅</v>
      </c>
      <c r="F623" s="23" t="str">
        <f>IFERROR(VLOOKUP(G623, 'Padronização'!A:C, 3, FALSE), "")</f>
        <v>ABM/MAS aplicado à evacuação</v>
      </c>
      <c r="G623" s="3" t="s">
        <v>45</v>
      </c>
      <c r="H623" s="33"/>
    </row>
    <row r="624" ht="22.5" customHeight="1">
      <c r="A624" s="4" t="s">
        <v>30</v>
      </c>
      <c r="B624" s="4">
        <v>2022.0</v>
      </c>
      <c r="C624" s="4" t="s">
        <v>87</v>
      </c>
      <c r="D624" s="4" t="s">
        <v>878</v>
      </c>
      <c r="E624" s="4" t="str">
        <f>IFERROR(VLOOKUP(G624, 'Padronização'!A:C, 2, FALSE), "")</f>
        <v>✅</v>
      </c>
      <c r="F624" s="23" t="str">
        <f>IFERROR(VLOOKUP(G624, 'Padronização'!A:C, 3, FALSE), "")</f>
        <v>ABM/MAS focado em comportamento humano cognitivo</v>
      </c>
      <c r="G624" s="23" t="s">
        <v>47</v>
      </c>
      <c r="H624" s="33"/>
    </row>
    <row r="625" ht="22.5" customHeight="1">
      <c r="A625" s="4" t="s">
        <v>30</v>
      </c>
      <c r="B625" s="4">
        <v>2022.0</v>
      </c>
      <c r="C625" s="4" t="s">
        <v>87</v>
      </c>
      <c r="D625" s="4" t="s">
        <v>879</v>
      </c>
      <c r="E625" s="4" t="str">
        <f>IFERROR(VLOOKUP(G625, 'Padronização'!A:C, 2, FALSE), "")</f>
        <v>✅</v>
      </c>
      <c r="F625" s="23" t="str">
        <f>IFERROR(VLOOKUP(G625, 'Padronização'!A:C, 3, FALSE), "")</f>
        <v>ABM/MAS focado em comportamento humano cognitivo</v>
      </c>
      <c r="G625" s="3" t="s">
        <v>47</v>
      </c>
      <c r="H625" s="33"/>
    </row>
    <row r="626" ht="22.5" customHeight="1">
      <c r="A626" s="4" t="s">
        <v>30</v>
      </c>
      <c r="B626" s="4">
        <v>2022.0</v>
      </c>
      <c r="C626" s="4" t="s">
        <v>87</v>
      </c>
      <c r="D626" s="4" t="s">
        <v>880</v>
      </c>
      <c r="E626" s="4" t="str">
        <f>IFERROR(VLOOKUP(G626, 'Padronização'!A:C, 2, FALSE), "")</f>
        <v>✅</v>
      </c>
      <c r="F626" s="23" t="str">
        <f>IFERROR(VLOOKUP(G626, 'Padronização'!A:C, 3, FALSE), "")</f>
        <v>ABM/MAS focado em comportamento humano cognitivo</v>
      </c>
      <c r="G626" s="3" t="s">
        <v>47</v>
      </c>
      <c r="H626" s="33"/>
    </row>
    <row r="627" ht="22.5" customHeight="1">
      <c r="A627" s="4" t="s">
        <v>30</v>
      </c>
      <c r="B627" s="4">
        <v>2022.0</v>
      </c>
      <c r="C627" s="4" t="s">
        <v>33</v>
      </c>
      <c r="D627" s="4" t="s">
        <v>881</v>
      </c>
      <c r="E627" s="4" t="str">
        <f>IFERROR(VLOOKUP(G627, 'Padronização'!A:C, 2, FALSE), "")</f>
        <v>✅</v>
      </c>
      <c r="F627" s="23" t="str">
        <f>IFERROR(VLOOKUP(G627, 'Padronização'!A:C, 3, FALSE), "")</f>
        <v>Grupos vulneráveis em cenários de crise</v>
      </c>
      <c r="G627" s="3" t="s">
        <v>54</v>
      </c>
      <c r="H627" s="33"/>
    </row>
    <row r="628" ht="22.5" customHeight="1">
      <c r="A628" s="4" t="s">
        <v>30</v>
      </c>
      <c r="B628" s="4">
        <v>2022.0</v>
      </c>
      <c r="C628" s="4" t="s">
        <v>87</v>
      </c>
      <c r="D628" s="4" t="s">
        <v>668</v>
      </c>
      <c r="E628" s="4" t="str">
        <f>IFERROR(VLOOKUP(G628, 'Padronização'!A:C, 2, FALSE), "")</f>
        <v>✅</v>
      </c>
      <c r="F628" s="23" t="str">
        <f>IFERROR(VLOOKUP(G628, 'Padronização'!A:C, 3, FALSE), "")</f>
        <v>ABM/MAS aplicado à evacuação</v>
      </c>
      <c r="G628" s="3" t="s">
        <v>45</v>
      </c>
      <c r="H628" s="33"/>
    </row>
    <row r="629" ht="22.5" hidden="1" customHeight="1">
      <c r="A629" s="4" t="s">
        <v>30</v>
      </c>
      <c r="B629" s="4">
        <v>2022.0</v>
      </c>
      <c r="C629" s="4" t="s">
        <v>33</v>
      </c>
      <c r="D629" s="4" t="s">
        <v>882</v>
      </c>
      <c r="E629" s="4" t="str">
        <f>IFERROR(VLOOKUP(G629, 'Padronização'!A:C, 2, FALSE), "")</f>
        <v>❌</v>
      </c>
      <c r="F629" s="23" t="str">
        <f>IFERROR(VLOOKUP(G629, 'Padronização'!A:C, 3, FALSE), "")</f>
        <v>Artigo metodológico genérico (framework, design, how-to)</v>
      </c>
      <c r="G629" s="3" t="s">
        <v>27</v>
      </c>
      <c r="H629" s="33"/>
    </row>
    <row r="630" ht="22.5" customHeight="1">
      <c r="A630" s="4" t="s">
        <v>30</v>
      </c>
      <c r="B630" s="4">
        <v>2022.0</v>
      </c>
      <c r="C630" s="4" t="s">
        <v>87</v>
      </c>
      <c r="D630" s="4" t="s">
        <v>671</v>
      </c>
      <c r="E630" s="4" t="str">
        <f>IFERROR(VLOOKUP(G630, 'Padronização'!A:C, 2, FALSE), "")</f>
        <v>✅</v>
      </c>
      <c r="F630" s="23" t="str">
        <f>IFERROR(VLOOKUP(G630, 'Padronização'!A:C, 3, FALSE), "")</f>
        <v>Grupos vulneráveis em cenários de crise</v>
      </c>
      <c r="G630" s="3" t="s">
        <v>54</v>
      </c>
      <c r="H630" s="33"/>
    </row>
    <row r="631" ht="22.5" hidden="1" customHeight="1">
      <c r="A631" s="4" t="s">
        <v>30</v>
      </c>
      <c r="B631" s="4">
        <v>2022.0</v>
      </c>
      <c r="C631" s="4" t="s">
        <v>87</v>
      </c>
      <c r="D631" s="4" t="s">
        <v>883</v>
      </c>
      <c r="E631" s="4" t="str">
        <f>IFERROR(VLOOKUP(G631, 'Padronização'!A:C, 2, FALSE), "")</f>
        <v>⚠️</v>
      </c>
      <c r="F631" s="23" t="str">
        <f>IFERROR(VLOOKUP(G631, 'Padronização'!A:C, 3, FALSE), "")</f>
        <v>Emergência sem evacuação clara</v>
      </c>
      <c r="G631" s="3" t="s">
        <v>43</v>
      </c>
      <c r="H631" s="33"/>
    </row>
    <row r="632" ht="22.5" hidden="1" customHeight="1">
      <c r="A632" s="4" t="s">
        <v>30</v>
      </c>
      <c r="B632" s="4">
        <v>2022.0</v>
      </c>
      <c r="C632" s="4" t="s">
        <v>33</v>
      </c>
      <c r="D632" s="4" t="s">
        <v>884</v>
      </c>
      <c r="E632" s="4" t="str">
        <f>IFERROR(VLOOKUP(G632, 'Padronização'!A:C, 2, FALSE), "")</f>
        <v>❌</v>
      </c>
      <c r="F632" s="23" t="str">
        <f>IFERROR(VLOOKUP(G632, 'Padronização'!A:C, 3, FALSE), "")</f>
        <v>Emergência em saúde com foco operacional / Operação hospitalar</v>
      </c>
      <c r="G632" s="3" t="s">
        <v>38</v>
      </c>
      <c r="H632" s="33"/>
    </row>
    <row r="633" ht="22.5" customHeight="1">
      <c r="A633" s="4" t="s">
        <v>30</v>
      </c>
      <c r="B633" s="4">
        <v>2022.0</v>
      </c>
      <c r="C633" s="4" t="s">
        <v>33</v>
      </c>
      <c r="D633" s="4" t="s">
        <v>676</v>
      </c>
      <c r="E633" s="4" t="str">
        <f>IFERROR(VLOOKUP(G633, 'Padronização'!A:C, 2, FALSE), "")</f>
        <v>✅</v>
      </c>
      <c r="F633" s="23" t="str">
        <f>IFERROR(VLOOKUP(G633, 'Padronização'!A:C, 3, FALSE), "")</f>
        <v>Grupos vulneráveis em cenários de crise</v>
      </c>
      <c r="G633" s="3" t="s">
        <v>54</v>
      </c>
      <c r="H633" s="33"/>
    </row>
    <row r="634" ht="22.5" hidden="1" customHeight="1">
      <c r="A634" s="4" t="s">
        <v>30</v>
      </c>
      <c r="B634" s="4">
        <v>2022.0</v>
      </c>
      <c r="C634" s="4" t="s">
        <v>87</v>
      </c>
      <c r="D634" s="4" t="s">
        <v>885</v>
      </c>
      <c r="E634" s="4" t="str">
        <f>IFERROR(VLOOKUP(G634, 'Padronização'!A:C, 2, FALSE), "")</f>
        <v>❌</v>
      </c>
      <c r="F634" s="23" t="str">
        <f>IFERROR(VLOOKUP(G634, 'Padronização'!A:C, 3, FALSE), "")</f>
        <v>Artigo metodológico genérico (framework, design, how-to)</v>
      </c>
      <c r="G634" s="3" t="s">
        <v>27</v>
      </c>
      <c r="H634" s="33"/>
    </row>
    <row r="635" ht="22.5" hidden="1" customHeight="1">
      <c r="A635" s="4" t="s">
        <v>30</v>
      </c>
      <c r="B635" s="4">
        <v>2022.0</v>
      </c>
      <c r="C635" s="4" t="s">
        <v>33</v>
      </c>
      <c r="D635" s="4" t="s">
        <v>886</v>
      </c>
      <c r="E635" s="4" t="str">
        <f>IFERROR(VLOOKUP(G635, 'Padronização'!A:C, 2, FALSE), "")</f>
        <v>❌</v>
      </c>
      <c r="F635" s="23" t="str">
        <f>IFERROR(VLOOKUP(G635, 'Padronização'!A:C, 3, FALSE), "")</f>
        <v>Emergência em saúde com foco operacional / Operação hospitalar</v>
      </c>
      <c r="G635" s="3" t="s">
        <v>38</v>
      </c>
      <c r="H635" s="33"/>
    </row>
    <row r="636" ht="22.5" hidden="1" customHeight="1">
      <c r="A636" s="4" t="s">
        <v>30</v>
      </c>
      <c r="B636" s="4">
        <v>2022.0</v>
      </c>
      <c r="C636" s="4" t="s">
        <v>87</v>
      </c>
      <c r="D636" s="4" t="s">
        <v>887</v>
      </c>
      <c r="E636" s="4" t="str">
        <f>IFERROR(VLOOKUP(G636, 'Padronização'!A:C, 2, FALSE), "")</f>
        <v>❌</v>
      </c>
      <c r="F636" s="23" t="str">
        <f>IFERROR(VLOOKUP(G636, 'Padronização'!A:C, 3, FALSE), "")</f>
        <v>Emergência em saúde com foco operacional / Operação hospitalar</v>
      </c>
      <c r="G636" s="3" t="s">
        <v>38</v>
      </c>
      <c r="H636" s="33"/>
    </row>
    <row r="637" ht="22.5" customHeight="1">
      <c r="A637" s="4" t="s">
        <v>30</v>
      </c>
      <c r="B637" s="4">
        <v>2022.0</v>
      </c>
      <c r="C637" s="4" t="s">
        <v>87</v>
      </c>
      <c r="D637" s="4" t="s">
        <v>888</v>
      </c>
      <c r="E637" s="4" t="str">
        <f>IFERROR(VLOOKUP(G637, 'Padronização'!A:C, 2, FALSE), "")</f>
        <v>✅</v>
      </c>
      <c r="F637" s="23" t="str">
        <f>IFERROR(VLOOKUP(G637, 'Padronização'!A:C, 3, FALSE), "")</f>
        <v>ABM/MAS focado em comportamento humano cognitivo</v>
      </c>
      <c r="G637" s="3" t="s">
        <v>47</v>
      </c>
      <c r="H637" s="33"/>
    </row>
    <row r="638" ht="22.5" hidden="1" customHeight="1">
      <c r="A638" s="4" t="s">
        <v>30</v>
      </c>
      <c r="B638" s="4">
        <v>2022.0</v>
      </c>
      <c r="C638" s="4" t="s">
        <v>87</v>
      </c>
      <c r="D638" s="4" t="s">
        <v>889</v>
      </c>
      <c r="E638" s="4" t="str">
        <f>IFERROR(VLOOKUP(G638, 'Padronização'!A:C, 2, FALSE), "")</f>
        <v>⚠️</v>
      </c>
      <c r="F638" s="23" t="str">
        <f>IFERROR(VLOOKUP(G638, 'Padronização'!A:C, 3, FALSE), "")</f>
        <v>Crise explícita com foco em infraestrutura</v>
      </c>
      <c r="G638" s="3" t="s">
        <v>40</v>
      </c>
      <c r="H638" s="33"/>
    </row>
    <row r="639" ht="22.5" hidden="1" customHeight="1">
      <c r="A639" s="4" t="s">
        <v>30</v>
      </c>
      <c r="B639" s="4">
        <v>2022.0</v>
      </c>
      <c r="C639" s="4" t="s">
        <v>87</v>
      </c>
      <c r="D639" s="4" t="s">
        <v>890</v>
      </c>
      <c r="E639" s="4" t="str">
        <f>IFERROR(VLOOKUP(G639, 'Padronização'!A:C, 2, FALSE), "")</f>
        <v>❌</v>
      </c>
      <c r="F639" s="23" t="str">
        <f>IFERROR(VLOOKUP(G639, 'Padronização'!A:C, 3, FALSE), "")</f>
        <v>Artigo metodológico genérico (framework, design, how-to)</v>
      </c>
      <c r="G639" s="3" t="s">
        <v>27</v>
      </c>
      <c r="H639" s="33"/>
    </row>
    <row r="640" ht="22.5" hidden="1" customHeight="1">
      <c r="A640" s="4" t="s">
        <v>30</v>
      </c>
      <c r="B640" s="4">
        <v>2022.0</v>
      </c>
      <c r="C640" s="4" t="s">
        <v>33</v>
      </c>
      <c r="D640" s="4" t="s">
        <v>891</v>
      </c>
      <c r="E640" s="4" t="str">
        <f>IFERROR(VLOOKUP(G640, 'Padronização'!A:C, 2, FALSE), "")</f>
        <v>❌</v>
      </c>
      <c r="F640" s="23" t="str">
        <f>IFERROR(VLOOKUP(G640, 'Padronização'!A:C, 3, FALSE), "")</f>
        <v>Telecomunicações emergenciais / alocação de rede; foco técnico</v>
      </c>
      <c r="G640" s="3" t="s">
        <v>5</v>
      </c>
      <c r="H640" s="33"/>
    </row>
    <row r="641" ht="22.5" hidden="1" customHeight="1">
      <c r="A641" s="4" t="s">
        <v>30</v>
      </c>
      <c r="B641" s="4">
        <v>2022.0</v>
      </c>
      <c r="C641" s="4" t="s">
        <v>87</v>
      </c>
      <c r="D641" s="4" t="s">
        <v>892</v>
      </c>
      <c r="E641" s="4" t="str">
        <f>IFERROR(VLOOKUP(G641, 'Padronização'!A:C, 2, FALSE), "")</f>
        <v>❌</v>
      </c>
      <c r="F641" s="23" t="str">
        <f>IFERROR(VLOOKUP(G641, 'Padronização'!A:C, 3, FALSE), "")</f>
        <v>Não aborda cenário de crise ou desastre</v>
      </c>
      <c r="G641" s="3" t="s">
        <v>31</v>
      </c>
      <c r="H641" s="33"/>
    </row>
    <row r="642" ht="22.5" customHeight="1">
      <c r="A642" s="4" t="s">
        <v>30</v>
      </c>
      <c r="B642" s="4">
        <v>2022.0</v>
      </c>
      <c r="C642" s="4" t="s">
        <v>87</v>
      </c>
      <c r="D642" s="4" t="s">
        <v>682</v>
      </c>
      <c r="E642" s="4" t="str">
        <f>IFERROR(VLOOKUP(G642, 'Padronização'!A:C, 2, FALSE), "")</f>
        <v>✅</v>
      </c>
      <c r="F642" s="23" t="str">
        <f>IFERROR(VLOOKUP(G642, 'Padronização'!A:C, 3, FALSE), "")</f>
        <v>ABM/MAS focado em comportamento humano cognitivo</v>
      </c>
      <c r="G642" s="3" t="s">
        <v>47</v>
      </c>
      <c r="H642" s="33"/>
    </row>
    <row r="643" ht="22.5" hidden="1" customHeight="1">
      <c r="A643" s="4" t="s">
        <v>30</v>
      </c>
      <c r="B643" s="4">
        <v>2022.0</v>
      </c>
      <c r="C643" s="4" t="s">
        <v>87</v>
      </c>
      <c r="D643" s="4" t="s">
        <v>893</v>
      </c>
      <c r="E643" s="4" t="str">
        <f>IFERROR(VLOOKUP(G643, 'Padronização'!A:C, 2, FALSE), "")</f>
        <v>⚠️</v>
      </c>
      <c r="F643" s="23" t="str">
        <f>IFERROR(VLOOKUP(G643, 'Padronização'!A:C, 3, FALSE), "")</f>
        <v>Crise explícita com foco em infraestrutura</v>
      </c>
      <c r="G643" s="3" t="s">
        <v>40</v>
      </c>
      <c r="H643" s="33"/>
    </row>
    <row r="644" ht="22.5" hidden="1" customHeight="1">
      <c r="A644" s="4" t="s">
        <v>30</v>
      </c>
      <c r="B644" s="4">
        <v>2022.0</v>
      </c>
      <c r="C644" s="4" t="s">
        <v>87</v>
      </c>
      <c r="D644" s="4" t="s">
        <v>894</v>
      </c>
      <c r="E644" s="4" t="str">
        <f>IFERROR(VLOOKUP(G644, 'Padronização'!A:C, 2, FALSE), "")</f>
        <v>❌</v>
      </c>
      <c r="F644" s="23" t="str">
        <f>IFERROR(VLOOKUP(G644, 'Padronização'!A:C, 3, FALSE), "")</f>
        <v>Emergência em saúde com foco operacional / Operação hospitalar</v>
      </c>
      <c r="G644" s="23" t="s">
        <v>38</v>
      </c>
      <c r="H644" s="33"/>
    </row>
    <row r="645" ht="22.5" customHeight="1">
      <c r="A645" s="4" t="s">
        <v>30</v>
      </c>
      <c r="B645" s="4">
        <v>2022.0</v>
      </c>
      <c r="C645" s="4" t="s">
        <v>87</v>
      </c>
      <c r="D645" s="4" t="s">
        <v>895</v>
      </c>
      <c r="E645" s="4" t="str">
        <f>IFERROR(VLOOKUP(G645, 'Padronização'!A:C, 2, FALSE), "")</f>
        <v>✅</v>
      </c>
      <c r="F645" s="23" t="str">
        <f>IFERROR(VLOOKUP(G645, 'Padronização'!A:C, 3, FALSE), "")</f>
        <v>Resposta humana a alertas e decisões</v>
      </c>
      <c r="G645" s="23" t="s">
        <v>50</v>
      </c>
      <c r="H645" s="33"/>
    </row>
    <row r="646" ht="22.5" hidden="1" customHeight="1">
      <c r="A646" s="4" t="s">
        <v>30</v>
      </c>
      <c r="B646" s="4">
        <v>2022.0</v>
      </c>
      <c r="C646" s="4" t="s">
        <v>87</v>
      </c>
      <c r="D646" s="4" t="s">
        <v>896</v>
      </c>
      <c r="E646" s="4" t="str">
        <f>IFERROR(VLOOKUP(G646, 'Padronização'!A:C, 2, FALSE), "")</f>
        <v>❌</v>
      </c>
      <c r="F646" s="23" t="str">
        <f>IFERROR(VLOOKUP(G646, 'Padronização'!A:C, 3, FALSE), "")</f>
        <v>Emergência em saúde com foco operacional / Operação hospitalar</v>
      </c>
      <c r="G646" s="3" t="s">
        <v>38</v>
      </c>
      <c r="H646" s="33"/>
    </row>
    <row r="647" ht="22.5" hidden="1" customHeight="1">
      <c r="A647" s="4" t="s">
        <v>30</v>
      </c>
      <c r="B647" s="4">
        <v>2022.0</v>
      </c>
      <c r="C647" s="4" t="s">
        <v>87</v>
      </c>
      <c r="D647" s="4" t="s">
        <v>897</v>
      </c>
      <c r="E647" s="4" t="str">
        <f>IFERROR(VLOOKUP(G647, 'Padronização'!A:C, 2, FALSE), "")</f>
        <v>❌</v>
      </c>
      <c r="F647" s="23" t="str">
        <f>IFERROR(VLOOKUP(G647, 'Padronização'!A:C, 3, FALSE), "")</f>
        <v>Energia, grid, V2G; crise tratada como operação técnica</v>
      </c>
      <c r="G647" s="3" t="s">
        <v>12</v>
      </c>
      <c r="H647" s="33"/>
    </row>
    <row r="648" ht="22.5" hidden="1" customHeight="1">
      <c r="A648" s="4" t="s">
        <v>30</v>
      </c>
      <c r="B648" s="4">
        <v>2022.0</v>
      </c>
      <c r="C648" s="4" t="s">
        <v>87</v>
      </c>
      <c r="D648" s="4" t="s">
        <v>898</v>
      </c>
      <c r="E648" s="4" t="str">
        <f>IFERROR(VLOOKUP(G648, 'Padronização'!A:C, 2, FALSE), "")</f>
        <v>❌</v>
      </c>
      <c r="F648" s="23" t="str">
        <f>IFERROR(VLOOKUP(G648, 'Padronização'!A:C, 3, FALSE), "")</f>
        <v>Artigo metodológico genérico (framework, design, how-to)</v>
      </c>
      <c r="G648" s="23" t="s">
        <v>27</v>
      </c>
      <c r="H648" s="33"/>
    </row>
    <row r="649" ht="22.5" hidden="1" customHeight="1">
      <c r="A649" s="4" t="s">
        <v>30</v>
      </c>
      <c r="B649" s="4">
        <v>2022.0</v>
      </c>
      <c r="C649" s="4" t="s">
        <v>87</v>
      </c>
      <c r="D649" s="4" t="s">
        <v>899</v>
      </c>
      <c r="E649" s="4" t="str">
        <f>IFERROR(VLOOKUP(G649, 'Padronização'!A:C, 2, FALSE), "")</f>
        <v>⚠️</v>
      </c>
      <c r="F649" s="23" t="str">
        <f>IFERROR(VLOOKUP(G649, 'Padronização'!A:C, 3, FALSE), "")</f>
        <v>Emergência sem evacuação clara</v>
      </c>
      <c r="G649" s="23" t="s">
        <v>43</v>
      </c>
      <c r="H649" s="33"/>
    </row>
    <row r="650" ht="22.5" hidden="1" customHeight="1">
      <c r="A650" s="4" t="s">
        <v>30</v>
      </c>
      <c r="B650" s="4">
        <v>2022.0</v>
      </c>
      <c r="C650" s="4" t="s">
        <v>33</v>
      </c>
      <c r="D650" s="4" t="s">
        <v>900</v>
      </c>
      <c r="E650" s="4" t="str">
        <f>IFERROR(VLOOKUP(G650, 'Padronização'!A:C, 2, FALSE), "")</f>
        <v>❌</v>
      </c>
      <c r="F650" s="23" t="str">
        <f>IFERROR(VLOOKUP(G650, 'Padronização'!A:C, 3, FALSE), "")</f>
        <v>Não aborda cenário de crise ou desastre</v>
      </c>
      <c r="G650" s="23" t="s">
        <v>31</v>
      </c>
      <c r="H650" s="33"/>
    </row>
    <row r="651" ht="22.5" hidden="1" customHeight="1">
      <c r="A651" s="4" t="s">
        <v>30</v>
      </c>
      <c r="B651" s="4">
        <v>2022.0</v>
      </c>
      <c r="C651" s="4" t="s">
        <v>87</v>
      </c>
      <c r="D651" s="4" t="s">
        <v>901</v>
      </c>
      <c r="E651" s="4" t="str">
        <f>IFERROR(VLOOKUP(G651, 'Padronização'!A:C, 2, FALSE), "")</f>
        <v>⚠️</v>
      </c>
      <c r="F651" s="23" t="str">
        <f>IFERROR(VLOOKUP(G651, 'Padronização'!A:C, 3, FALSE), "")</f>
        <v>Crise explícita com foco em infraestrutura</v>
      </c>
      <c r="G651" s="23" t="s">
        <v>40</v>
      </c>
      <c r="H651" s="33"/>
    </row>
    <row r="652" ht="22.5" hidden="1" customHeight="1">
      <c r="A652" s="4" t="s">
        <v>30</v>
      </c>
      <c r="B652" s="4">
        <v>2022.0</v>
      </c>
      <c r="C652" s="4" t="s">
        <v>87</v>
      </c>
      <c r="D652" s="4" t="s">
        <v>902</v>
      </c>
      <c r="E652" s="4" t="str">
        <f>IFERROR(VLOOKUP(G652, 'Padronização'!A:C, 2, FALSE), "")</f>
        <v>❌</v>
      </c>
      <c r="F652" s="23" t="str">
        <f>IFERROR(VLOOKUP(G652, 'Padronização'!A:C, 3, FALSE), "")</f>
        <v>Não aborda cenário de crise ou desastre</v>
      </c>
      <c r="G652" s="23" t="s">
        <v>31</v>
      </c>
      <c r="H652" s="33"/>
    </row>
    <row r="653" ht="22.5" hidden="1" customHeight="1">
      <c r="A653" s="4" t="s">
        <v>30</v>
      </c>
      <c r="B653" s="4">
        <v>2022.0</v>
      </c>
      <c r="C653" s="4" t="s">
        <v>87</v>
      </c>
      <c r="D653" s="4" t="s">
        <v>903</v>
      </c>
      <c r="E653" s="4" t="str">
        <f>IFERROR(VLOOKUP(G653, 'Padronização'!A:C, 2, FALSE), "")</f>
        <v>❌</v>
      </c>
      <c r="F653" s="23" t="str">
        <f>IFERROR(VLOOKUP(G653, 'Padronização'!A:C, 3, FALSE), "")</f>
        <v>Não aborda cenário de crise ou desastre</v>
      </c>
      <c r="G653" s="23" t="s">
        <v>31</v>
      </c>
      <c r="H653" s="33"/>
    </row>
    <row r="654" ht="22.5" hidden="1" customHeight="1">
      <c r="A654" s="4" t="s">
        <v>30</v>
      </c>
      <c r="B654" s="4">
        <v>2022.0</v>
      </c>
      <c r="C654" s="4" t="s">
        <v>87</v>
      </c>
      <c r="D654" s="4" t="s">
        <v>904</v>
      </c>
      <c r="E654" s="4" t="str">
        <f>IFERROR(VLOOKUP(G654, 'Padronização'!A:C, 2, FALSE), "")</f>
        <v>❌</v>
      </c>
      <c r="F654" s="23" t="str">
        <f>IFERROR(VLOOKUP(G654, 'Padronização'!A:C, 3, FALSE), "")</f>
        <v>Telecomunicações emergenciais / alocação de rede; foco técnico</v>
      </c>
      <c r="G654" s="3" t="s">
        <v>5</v>
      </c>
      <c r="H654" s="33"/>
    </row>
    <row r="655" ht="22.5" hidden="1" customHeight="1">
      <c r="A655" s="4" t="s">
        <v>30</v>
      </c>
      <c r="B655" s="4">
        <v>2022.0</v>
      </c>
      <c r="C655" s="4" t="s">
        <v>87</v>
      </c>
      <c r="D655" s="4" t="s">
        <v>905</v>
      </c>
      <c r="E655" s="4" t="str">
        <f>IFERROR(VLOOKUP(G655, 'Padronização'!A:C, 2, FALSE), "")</f>
        <v>⚠️</v>
      </c>
      <c r="F655" s="23" t="str">
        <f>IFERROR(VLOOKUP(G655, 'Padronização'!A:C, 3, FALSE), "")</f>
        <v>Crise explícita com foco em infraestrutura</v>
      </c>
      <c r="G655" s="23" t="s">
        <v>40</v>
      </c>
      <c r="H655" s="33"/>
    </row>
    <row r="656" ht="22.5" hidden="1" customHeight="1">
      <c r="A656" s="4" t="s">
        <v>30</v>
      </c>
      <c r="B656" s="4">
        <v>2022.0</v>
      </c>
      <c r="C656" s="4" t="s">
        <v>87</v>
      </c>
      <c r="D656" s="4" t="s">
        <v>906</v>
      </c>
      <c r="E656" s="4" t="str">
        <f>IFERROR(VLOOKUP(G656, 'Padronização'!A:C, 2, FALSE), "")</f>
        <v>❌</v>
      </c>
      <c r="F656" s="23" t="str">
        <f>IFERROR(VLOOKUP(G656, 'Padronização'!A:C, 3, FALSE), "")</f>
        <v>Emergência em saúde com foco operacional / Operação hospitalar</v>
      </c>
      <c r="G656" s="23" t="s">
        <v>38</v>
      </c>
      <c r="H656" s="33"/>
    </row>
    <row r="657" ht="22.5" hidden="1" customHeight="1">
      <c r="A657" s="4" t="s">
        <v>30</v>
      </c>
      <c r="B657" s="4">
        <v>2022.0</v>
      </c>
      <c r="C657" s="4" t="s">
        <v>33</v>
      </c>
      <c r="D657" s="4" t="s">
        <v>907</v>
      </c>
      <c r="E657" s="4" t="str">
        <f>IFERROR(VLOOKUP(G657, 'Padronização'!A:C, 2, FALSE), "")</f>
        <v>❌</v>
      </c>
      <c r="F657" s="23" t="str">
        <f>IFERROR(VLOOKUP(G657, 'Padronização'!A:C, 3, FALSE), "")</f>
        <v>Transporte / tráfego em operação normal</v>
      </c>
      <c r="G657" s="23" t="s">
        <v>19</v>
      </c>
      <c r="H657" s="33"/>
    </row>
    <row r="658" ht="22.5" hidden="1" customHeight="1">
      <c r="A658" s="4" t="s">
        <v>30</v>
      </c>
      <c r="B658" s="4">
        <v>2022.0</v>
      </c>
      <c r="C658" s="4" t="s">
        <v>87</v>
      </c>
      <c r="D658" s="4" t="s">
        <v>908</v>
      </c>
      <c r="E658" s="4" t="str">
        <f>IFERROR(VLOOKUP(G658, 'Padronização'!A:C, 2, FALSE), "")</f>
        <v>⚠️</v>
      </c>
      <c r="F658" s="23" t="str">
        <f>IFERROR(VLOOKUP(G658, 'Padronização'!A:C, 3, FALSE), "")</f>
        <v>Emergência sem evacuação clara</v>
      </c>
      <c r="G658" s="23" t="s">
        <v>43</v>
      </c>
      <c r="H658" s="33"/>
    </row>
    <row r="659" ht="22.5" hidden="1" customHeight="1">
      <c r="A659" s="4" t="s">
        <v>30</v>
      </c>
      <c r="B659" s="4">
        <v>2022.0</v>
      </c>
      <c r="C659" s="4" t="s">
        <v>87</v>
      </c>
      <c r="D659" s="4" t="s">
        <v>909</v>
      </c>
      <c r="E659" s="4" t="str">
        <f>IFERROR(VLOOKUP(G659, 'Padronização'!A:C, 2, FALSE), "")</f>
        <v>❌</v>
      </c>
      <c r="F659" s="23" t="str">
        <f>IFERROR(VLOOKUP(G659, 'Padronização'!A:C, 3, FALSE), "")</f>
        <v>Não aborda cenário de crise ou desastre</v>
      </c>
      <c r="G659" s="23" t="s">
        <v>31</v>
      </c>
      <c r="H659" s="33"/>
    </row>
    <row r="660" ht="22.5" hidden="1" customHeight="1">
      <c r="A660" s="4" t="s">
        <v>30</v>
      </c>
      <c r="B660" s="4">
        <v>2022.0</v>
      </c>
      <c r="C660" s="4" t="s">
        <v>87</v>
      </c>
      <c r="D660" s="4" t="s">
        <v>910</v>
      </c>
      <c r="E660" s="4" t="str">
        <f>IFERROR(VLOOKUP(G660, 'Padronização'!A:C, 2, FALSE), "")</f>
        <v>❌</v>
      </c>
      <c r="F660" s="23" t="str">
        <f>IFERROR(VLOOKUP(G660, 'Padronização'!A:C, 3, FALSE), "")</f>
        <v>Telecomunicações emergenciais / alocação de rede; foco técnico</v>
      </c>
      <c r="G660" s="23" t="s">
        <v>5</v>
      </c>
      <c r="H660" s="33"/>
    </row>
    <row r="661" ht="22.5" hidden="1" customHeight="1">
      <c r="A661" s="4" t="s">
        <v>30</v>
      </c>
      <c r="B661" s="4">
        <v>2022.0</v>
      </c>
      <c r="C661" s="4" t="s">
        <v>87</v>
      </c>
      <c r="D661" s="4" t="s">
        <v>911</v>
      </c>
      <c r="E661" s="4" t="str">
        <f>IFERROR(VLOOKUP(G661, 'Padronização'!A:C, 2, FALSE), "")</f>
        <v>❌</v>
      </c>
      <c r="F661" s="23" t="str">
        <f>IFERROR(VLOOKUP(G661, 'Padronização'!A:C, 3, FALSE), "")</f>
        <v>Telecomunicações emergenciais / alocação de rede; foco técnico</v>
      </c>
      <c r="G661" s="23" t="s">
        <v>5</v>
      </c>
      <c r="H661" s="33"/>
    </row>
    <row r="662" ht="22.5" hidden="1" customHeight="1">
      <c r="A662" s="4" t="s">
        <v>30</v>
      </c>
      <c r="B662" s="4">
        <v>2022.0</v>
      </c>
      <c r="C662" s="4" t="s">
        <v>87</v>
      </c>
      <c r="D662" s="4" t="s">
        <v>912</v>
      </c>
      <c r="E662" s="4" t="str">
        <f>IFERROR(VLOOKUP(G662, 'Padronização'!A:C, 2, FALSE), "")</f>
        <v>❌</v>
      </c>
      <c r="F662" s="23" t="str">
        <f>IFERROR(VLOOKUP(G662, 'Padronização'!A:C, 3, FALSE), "")</f>
        <v>Não aborda cenário de crise ou desastre</v>
      </c>
      <c r="G662" s="23" t="s">
        <v>31</v>
      </c>
      <c r="H662" s="33"/>
    </row>
    <row r="663" ht="22.5" customHeight="1">
      <c r="A663" s="4" t="s">
        <v>30</v>
      </c>
      <c r="B663" s="4">
        <v>2022.0</v>
      </c>
      <c r="C663" s="4" t="s">
        <v>87</v>
      </c>
      <c r="D663" s="4" t="s">
        <v>685</v>
      </c>
      <c r="E663" s="4" t="str">
        <f>IFERROR(VLOOKUP(G663, 'Padronização'!A:C, 2, FALSE), "")</f>
        <v>✅</v>
      </c>
      <c r="F663" s="23" t="str">
        <f>IFERROR(VLOOKUP(G663, 'Padronização'!A:C, 3, FALSE), "")</f>
        <v>Grupos vulneráveis em cenários de crise</v>
      </c>
      <c r="G663" s="23" t="s">
        <v>54</v>
      </c>
      <c r="H663" s="33"/>
    </row>
    <row r="664" ht="22.5" hidden="1" customHeight="1">
      <c r="A664" s="4" t="s">
        <v>30</v>
      </c>
      <c r="B664" s="4">
        <v>2022.0</v>
      </c>
      <c r="C664" s="4" t="s">
        <v>87</v>
      </c>
      <c r="D664" s="4" t="s">
        <v>913</v>
      </c>
      <c r="E664" s="4" t="str">
        <f>IFERROR(VLOOKUP(G664, 'Padronização'!A:C, 2, FALSE), "")</f>
        <v>❌</v>
      </c>
      <c r="F664" s="23" t="str">
        <f>IFERROR(VLOOKUP(G664, 'Padronização'!A:C, 3, FALSE), "")</f>
        <v>Não aborda cenário de crise ou desastre</v>
      </c>
      <c r="G664" s="23" t="s">
        <v>31</v>
      </c>
      <c r="H664" s="33"/>
    </row>
    <row r="665" ht="22.5" hidden="1" customHeight="1">
      <c r="A665" s="4" t="s">
        <v>30</v>
      </c>
      <c r="B665" s="4">
        <v>2022.0</v>
      </c>
      <c r="C665" s="4" t="s">
        <v>87</v>
      </c>
      <c r="D665" s="4" t="s">
        <v>914</v>
      </c>
      <c r="E665" s="4" t="str">
        <f>IFERROR(VLOOKUP(G665, 'Padronização'!A:C, 2, FALSE), "")</f>
        <v>❌</v>
      </c>
      <c r="F665" s="23" t="str">
        <f>IFERROR(VLOOKUP(G665, 'Padronização'!A:C, 3, FALSE), "")</f>
        <v>Telecomunicações emergenciais / alocação de rede; foco técnico</v>
      </c>
      <c r="G665" s="23" t="s">
        <v>5</v>
      </c>
      <c r="H665" s="33"/>
    </row>
    <row r="666" ht="22.5" hidden="1" customHeight="1">
      <c r="A666" s="4" t="s">
        <v>30</v>
      </c>
      <c r="B666" s="4">
        <v>2022.0</v>
      </c>
      <c r="C666" s="4" t="s">
        <v>33</v>
      </c>
      <c r="D666" s="4" t="s">
        <v>915</v>
      </c>
      <c r="E666" s="4" t="str">
        <f>IFERROR(VLOOKUP(G666, 'Padronização'!A:C, 2, FALSE), "")</f>
        <v>❌</v>
      </c>
      <c r="F666" s="23" t="str">
        <f>IFERROR(VLOOKUP(G666, 'Padronização'!A:C, 3, FALSE), "")</f>
        <v>Telecomunicações emergenciais / alocação de rede; foco técnico</v>
      </c>
      <c r="G666" s="23" t="s">
        <v>5</v>
      </c>
      <c r="H666" s="33"/>
    </row>
    <row r="667" ht="22.5" hidden="1" customHeight="1">
      <c r="A667" s="4" t="s">
        <v>30</v>
      </c>
      <c r="B667" s="4">
        <v>2022.0</v>
      </c>
      <c r="C667" s="4" t="s">
        <v>87</v>
      </c>
      <c r="D667" s="4" t="s">
        <v>916</v>
      </c>
      <c r="E667" s="4" t="str">
        <f>IFERROR(VLOOKUP(G667, 'Padronização'!A:C, 2, FALSE), "")</f>
        <v>❌</v>
      </c>
      <c r="F667" s="23" t="str">
        <f>IFERROR(VLOOKUP(G667, 'Padronização'!A:C, 3, FALSE), "")</f>
        <v>Telecomunicações emergenciais / alocação de rede; foco técnico</v>
      </c>
      <c r="G667" s="23" t="s">
        <v>5</v>
      </c>
      <c r="H667" s="33"/>
    </row>
    <row r="668" ht="22.5" hidden="1" customHeight="1">
      <c r="A668" s="4" t="s">
        <v>30</v>
      </c>
      <c r="B668" s="4">
        <v>2022.0</v>
      </c>
      <c r="C668" s="4" t="s">
        <v>87</v>
      </c>
      <c r="D668" s="4" t="s">
        <v>917</v>
      </c>
      <c r="E668" s="4" t="str">
        <f>IFERROR(VLOOKUP(G668, 'Padronização'!A:C, 2, FALSE), "")</f>
        <v>❌</v>
      </c>
      <c r="F668" s="23" t="str">
        <f>IFERROR(VLOOKUP(G668, 'Padronização'!A:C, 3, FALSE), "")</f>
        <v>Telecomunicações emergenciais / alocação de rede; foco técnico</v>
      </c>
      <c r="G668" s="23" t="s">
        <v>5</v>
      </c>
      <c r="H668" s="33"/>
    </row>
    <row r="669" ht="22.5" hidden="1" customHeight="1">
      <c r="A669" s="4" t="s">
        <v>30</v>
      </c>
      <c r="B669" s="4">
        <v>2022.0</v>
      </c>
      <c r="C669" s="4" t="s">
        <v>87</v>
      </c>
      <c r="D669" s="4" t="s">
        <v>918</v>
      </c>
      <c r="E669" s="4" t="str">
        <f>IFERROR(VLOOKUP(G669, 'Padronização'!A:C, 2, FALSE), "")</f>
        <v>❌</v>
      </c>
      <c r="F669" s="23" t="str">
        <f>IFERROR(VLOOKUP(G669, 'Padronização'!A:C, 3, FALSE), "")</f>
        <v>Telecomunicações emergenciais / alocação de rede; foco técnico</v>
      </c>
      <c r="G669" s="23" t="s">
        <v>5</v>
      </c>
      <c r="H669" s="33"/>
    </row>
    <row r="670" ht="22.5" hidden="1" customHeight="1">
      <c r="A670" s="4" t="s">
        <v>30</v>
      </c>
      <c r="B670" s="4">
        <v>2022.0</v>
      </c>
      <c r="C670" s="4" t="s">
        <v>87</v>
      </c>
      <c r="D670" s="4" t="s">
        <v>919</v>
      </c>
      <c r="E670" s="4" t="str">
        <f>IFERROR(VLOOKUP(G670, 'Padronização'!A:C, 2, FALSE), "")</f>
        <v>❌</v>
      </c>
      <c r="F670" s="23" t="str">
        <f>IFERROR(VLOOKUP(G670, 'Padronização'!A:C, 3, FALSE), "")</f>
        <v>Energia, grid, V2G; crise tratada como operação técnica</v>
      </c>
      <c r="G670" s="23" t="s">
        <v>12</v>
      </c>
      <c r="H670" s="33"/>
    </row>
    <row r="671" ht="22.5" hidden="1" customHeight="1">
      <c r="A671" s="4" t="s">
        <v>30</v>
      </c>
      <c r="B671" s="4">
        <v>2022.0</v>
      </c>
      <c r="C671" s="4" t="s">
        <v>87</v>
      </c>
      <c r="D671" s="4" t="s">
        <v>920</v>
      </c>
      <c r="E671" s="4" t="str">
        <f>IFERROR(VLOOKUP(G671, 'Padronização'!A:C, 2, FALSE), "")</f>
        <v>❌</v>
      </c>
      <c r="F671" s="23" t="str">
        <f>IFERROR(VLOOKUP(G671, 'Padronização'!A:C, 3, FALSE), "")</f>
        <v>Artigo metodológico genérico (framework, design, how-to)</v>
      </c>
      <c r="G671" s="23" t="s">
        <v>27</v>
      </c>
      <c r="H671" s="33"/>
    </row>
    <row r="672" ht="22.5" customHeight="1">
      <c r="A672" s="4" t="s">
        <v>30</v>
      </c>
      <c r="B672" s="4">
        <v>2021.0</v>
      </c>
      <c r="C672" s="4" t="s">
        <v>33</v>
      </c>
      <c r="D672" s="4" t="s">
        <v>921</v>
      </c>
      <c r="E672" s="4" t="str">
        <f>IFERROR(VLOOKUP(G672, 'Padronização'!A:C, 2, FALSE), "")</f>
        <v>✅</v>
      </c>
      <c r="F672" s="23" t="str">
        <f>IFERROR(VLOOKUP(G672, 'Padronização'!A:C, 3, FALSE), "")</f>
        <v>ABM/MAS aplicado à evacuação</v>
      </c>
      <c r="G672" s="23" t="s">
        <v>45</v>
      </c>
      <c r="H672" s="33"/>
    </row>
    <row r="673" ht="22.5" customHeight="1">
      <c r="A673" s="4" t="s">
        <v>30</v>
      </c>
      <c r="B673" s="4">
        <v>2021.0</v>
      </c>
      <c r="C673" s="4" t="s">
        <v>87</v>
      </c>
      <c r="D673" s="4" t="s">
        <v>922</v>
      </c>
      <c r="E673" s="4" t="str">
        <f>IFERROR(VLOOKUP(G673, 'Padronização'!A:C, 2, FALSE), "")</f>
        <v>✅</v>
      </c>
      <c r="F673" s="23" t="str">
        <f>IFERROR(VLOOKUP(G673, 'Padronização'!A:C, 3, FALSE), "")</f>
        <v>ABM/MAS aplicado à evacuação</v>
      </c>
      <c r="G673" s="23" t="s">
        <v>45</v>
      </c>
      <c r="H673" s="33"/>
    </row>
    <row r="674" ht="22.5" hidden="1" customHeight="1">
      <c r="A674" s="4" t="s">
        <v>30</v>
      </c>
      <c r="B674" s="4">
        <v>2021.0</v>
      </c>
      <c r="C674" s="4" t="s">
        <v>87</v>
      </c>
      <c r="D674" s="4" t="s">
        <v>923</v>
      </c>
      <c r="E674" s="4" t="str">
        <f>IFERROR(VLOOKUP(G674, 'Padronização'!A:C, 2, FALSE), "")</f>
        <v>❌</v>
      </c>
      <c r="F674" s="23" t="str">
        <f>IFERROR(VLOOKUP(G674, 'Padronização'!A:C, 3, FALSE), "")</f>
        <v>Artigo metodológico genérico (framework, design, how-to)</v>
      </c>
      <c r="G674" s="23" t="s">
        <v>27</v>
      </c>
      <c r="H674" s="33"/>
    </row>
    <row r="675" ht="22.5" hidden="1" customHeight="1">
      <c r="A675" s="4" t="s">
        <v>30</v>
      </c>
      <c r="B675" s="4">
        <v>2021.0</v>
      </c>
      <c r="C675" s="4" t="s">
        <v>33</v>
      </c>
      <c r="D675" s="4" t="s">
        <v>924</v>
      </c>
      <c r="E675" s="4" t="str">
        <f>IFERROR(VLOOKUP(G675, 'Padronização'!A:C, 2, FALSE), "")</f>
        <v>⚠️</v>
      </c>
      <c r="F675" s="23" t="str">
        <f>IFERROR(VLOOKUP(G675, 'Padronização'!A:C, 3, FALSE), "")</f>
        <v>Emergência com evacuação específica</v>
      </c>
      <c r="G675" s="23" t="s">
        <v>57</v>
      </c>
      <c r="H675" s="33"/>
    </row>
    <row r="676" ht="22.5" customHeight="1">
      <c r="A676" s="4" t="s">
        <v>30</v>
      </c>
      <c r="B676" s="4">
        <v>2021.0</v>
      </c>
      <c r="C676" s="4" t="s">
        <v>33</v>
      </c>
      <c r="D676" s="4" t="s">
        <v>699</v>
      </c>
      <c r="E676" s="4" t="str">
        <f>IFERROR(VLOOKUP(G676, 'Padronização'!A:C, 2, FALSE), "")</f>
        <v>✅</v>
      </c>
      <c r="F676" s="23" t="str">
        <f>IFERROR(VLOOKUP(G676, 'Padronização'!A:C, 3, FALSE), "")</f>
        <v>ABM/MAS focado em comportamento humano cognitivo</v>
      </c>
      <c r="G676" s="23" t="s">
        <v>47</v>
      </c>
      <c r="H676" s="33"/>
    </row>
    <row r="677" ht="22.5" hidden="1" customHeight="1">
      <c r="A677" s="4" t="s">
        <v>30</v>
      </c>
      <c r="B677" s="4">
        <v>2021.0</v>
      </c>
      <c r="C677" s="4" t="s">
        <v>33</v>
      </c>
      <c r="D677" s="4" t="s">
        <v>925</v>
      </c>
      <c r="E677" s="4" t="str">
        <f>IFERROR(VLOOKUP(G677, 'Padronização'!A:C, 2, FALSE), "")</f>
        <v>❌</v>
      </c>
      <c r="F677" s="23" t="str">
        <f>IFERROR(VLOOKUP(G677, 'Padronização'!A:C, 3, FALSE), "")</f>
        <v>Transporte / tráfego em operação normal</v>
      </c>
      <c r="G677" s="23" t="s">
        <v>19</v>
      </c>
      <c r="H677" s="33"/>
    </row>
    <row r="678" ht="22.5" hidden="1" customHeight="1">
      <c r="A678" s="4" t="s">
        <v>30</v>
      </c>
      <c r="B678" s="4">
        <v>2021.0</v>
      </c>
      <c r="C678" s="4" t="s">
        <v>33</v>
      </c>
      <c r="D678" s="4" t="s">
        <v>926</v>
      </c>
      <c r="E678" s="4" t="str">
        <f>IFERROR(VLOOKUP(G678, 'Padronização'!A:C, 2, FALSE), "")</f>
        <v>⚠️</v>
      </c>
      <c r="F678" s="23" t="str">
        <f>IFERROR(VLOOKUP(G678, 'Padronização'!A:C, 3, FALSE), "")</f>
        <v>Emergência sem evacuação clara</v>
      </c>
      <c r="G678" s="23" t="s">
        <v>43</v>
      </c>
      <c r="H678" s="33"/>
    </row>
    <row r="679" ht="22.5" hidden="1" customHeight="1">
      <c r="A679" s="4" t="s">
        <v>30</v>
      </c>
      <c r="B679" s="4">
        <v>2021.0</v>
      </c>
      <c r="C679" s="4" t="s">
        <v>33</v>
      </c>
      <c r="D679" s="4" t="s">
        <v>927</v>
      </c>
      <c r="E679" s="4" t="str">
        <f>IFERROR(VLOOKUP(G679, 'Padronização'!A:C, 2, FALSE), "")</f>
        <v>❌</v>
      </c>
      <c r="F679" s="23" t="str">
        <f>IFERROR(VLOOKUP(G679, 'Padronização'!A:C, 3, FALSE), "")</f>
        <v>Não aborda cenário de crise ou desastre</v>
      </c>
      <c r="G679" s="3" t="s">
        <v>31</v>
      </c>
      <c r="H679" s="33"/>
    </row>
    <row r="680" ht="22.5" hidden="1" customHeight="1">
      <c r="A680" s="4" t="s">
        <v>30</v>
      </c>
      <c r="B680" s="4">
        <v>2021.0</v>
      </c>
      <c r="C680" s="4" t="s">
        <v>33</v>
      </c>
      <c r="D680" s="4" t="s">
        <v>928</v>
      </c>
      <c r="E680" s="4" t="str">
        <f>IFERROR(VLOOKUP(G680, 'Padronização'!A:C, 2, FALSE), "")</f>
        <v>❌</v>
      </c>
      <c r="F680" s="23" t="str">
        <f>IFERROR(VLOOKUP(G680, 'Padronização'!A:C, 3, FALSE), "")</f>
        <v>Telecomunicações emergenciais / alocação de rede; foco técnico</v>
      </c>
      <c r="G680" s="23" t="s">
        <v>5</v>
      </c>
      <c r="H680" s="33"/>
    </row>
    <row r="681" ht="22.5" hidden="1" customHeight="1">
      <c r="A681" s="4" t="s">
        <v>30</v>
      </c>
      <c r="B681" s="4">
        <v>2021.0</v>
      </c>
      <c r="C681" s="4" t="s">
        <v>33</v>
      </c>
      <c r="D681" s="4" t="s">
        <v>929</v>
      </c>
      <c r="E681" s="4" t="str">
        <f>IFERROR(VLOOKUP(G681, 'Padronização'!A:C, 2, FALSE), "")</f>
        <v>❌</v>
      </c>
      <c r="F681" s="23" t="str">
        <f>IFERROR(VLOOKUP(G681, 'Padronização'!A:C, 3, FALSE), "")</f>
        <v>Telecomunicações emergenciais / alocação de rede; foco técnico</v>
      </c>
      <c r="G681" s="23" t="s">
        <v>5</v>
      </c>
      <c r="H681" s="33"/>
    </row>
    <row r="682" ht="22.5" customHeight="1">
      <c r="A682" s="4" t="s">
        <v>30</v>
      </c>
      <c r="B682" s="4">
        <v>2021.0</v>
      </c>
      <c r="C682" s="4" t="s">
        <v>87</v>
      </c>
      <c r="D682" s="4" t="s">
        <v>703</v>
      </c>
      <c r="E682" s="4" t="str">
        <f>IFERROR(VLOOKUP(G682, 'Padronização'!A:C, 2, FALSE), "")</f>
        <v>✅</v>
      </c>
      <c r="F682" s="23" t="str">
        <f>IFERROR(VLOOKUP(G682, 'Padronização'!A:C, 3, FALSE), "")</f>
        <v>Resposta humana a alertas e decisões</v>
      </c>
      <c r="G682" s="23" t="s">
        <v>50</v>
      </c>
      <c r="H682" s="33"/>
    </row>
    <row r="683" ht="22.5" customHeight="1">
      <c r="A683" s="4" t="s">
        <v>30</v>
      </c>
      <c r="B683" s="4">
        <v>2021.0</v>
      </c>
      <c r="C683" s="4" t="s">
        <v>33</v>
      </c>
      <c r="D683" s="4" t="s">
        <v>706</v>
      </c>
      <c r="E683" s="4" t="str">
        <f>IFERROR(VLOOKUP(G683, 'Padronização'!A:C, 2, FALSE), "")</f>
        <v>✅</v>
      </c>
      <c r="F683" s="23" t="str">
        <f>IFERROR(VLOOKUP(G683, 'Padronização'!A:C, 3, FALSE), "")</f>
        <v>ABM/MAS focado em comportamento humano cognitivo</v>
      </c>
      <c r="G683" s="3" t="s">
        <v>47</v>
      </c>
      <c r="H683" s="33"/>
    </row>
    <row r="684" ht="22.5" hidden="1" customHeight="1">
      <c r="A684" s="4" t="s">
        <v>30</v>
      </c>
      <c r="B684" s="4">
        <v>2021.0</v>
      </c>
      <c r="C684" s="4" t="s">
        <v>33</v>
      </c>
      <c r="D684" s="4" t="s">
        <v>930</v>
      </c>
      <c r="E684" s="4" t="str">
        <f>IFERROR(VLOOKUP(G684, 'Padronização'!A:C, 2, FALSE), "")</f>
        <v>❌</v>
      </c>
      <c r="F684" s="23" t="str">
        <f>IFERROR(VLOOKUP(G684, 'Padronização'!A:C, 3, FALSE), "")</f>
        <v>Não aborda cenário de crise ou desastre</v>
      </c>
      <c r="G684" s="23" t="s">
        <v>31</v>
      </c>
      <c r="H684" s="33"/>
    </row>
    <row r="685" ht="22.5" hidden="1" customHeight="1">
      <c r="A685" s="4" t="s">
        <v>30</v>
      </c>
      <c r="B685" s="4">
        <v>2021.0</v>
      </c>
      <c r="C685" s="4" t="s">
        <v>33</v>
      </c>
      <c r="D685" s="4" t="s">
        <v>931</v>
      </c>
      <c r="E685" s="4" t="str">
        <f>IFERROR(VLOOKUP(G685, 'Padronização'!A:C, 2, FALSE), "")</f>
        <v>❌</v>
      </c>
      <c r="F685" s="23" t="str">
        <f>IFERROR(VLOOKUP(G685, 'Padronização'!A:C, 3, FALSE), "")</f>
        <v>Não aborda cenário de crise ou desastre</v>
      </c>
      <c r="G685" s="23" t="s">
        <v>31</v>
      </c>
      <c r="H685" s="33"/>
    </row>
    <row r="686" ht="22.5" hidden="1" customHeight="1">
      <c r="A686" s="4" t="s">
        <v>30</v>
      </c>
      <c r="B686" s="4">
        <v>2021.0</v>
      </c>
      <c r="C686" s="4" t="s">
        <v>33</v>
      </c>
      <c r="D686" s="4" t="s">
        <v>932</v>
      </c>
      <c r="E686" s="4" t="str">
        <f>IFERROR(VLOOKUP(G686, 'Padronização'!A:C, 2, FALSE), "")</f>
        <v>⚠️</v>
      </c>
      <c r="F686" s="23" t="str">
        <f>IFERROR(VLOOKUP(G686, 'Padronização'!A:C, 3, FALSE), "")</f>
        <v>Crise explícita com foco em infraestrutura</v>
      </c>
      <c r="G686" s="23" t="s">
        <v>40</v>
      </c>
      <c r="H686" s="33"/>
    </row>
    <row r="687" ht="22.5" customHeight="1">
      <c r="A687" s="4" t="s">
        <v>30</v>
      </c>
      <c r="B687" s="4">
        <v>2021.0</v>
      </c>
      <c r="C687" s="4" t="s">
        <v>33</v>
      </c>
      <c r="D687" s="4" t="s">
        <v>708</v>
      </c>
      <c r="E687" s="4" t="str">
        <f>IFERROR(VLOOKUP(G687, 'Padronização'!A:C, 2, FALSE), "")</f>
        <v>✅</v>
      </c>
      <c r="F687" s="23" t="str">
        <f>IFERROR(VLOOKUP(G687, 'Padronização'!A:C, 3, FALSE), "")</f>
        <v>ABM/MAS focado em comportamento humano cognitivo</v>
      </c>
      <c r="G687" s="23" t="s">
        <v>47</v>
      </c>
      <c r="H687" s="33"/>
    </row>
    <row r="688" ht="22.5" customHeight="1">
      <c r="A688" s="4" t="s">
        <v>30</v>
      </c>
      <c r="B688" s="4">
        <v>2021.0</v>
      </c>
      <c r="C688" s="4" t="s">
        <v>33</v>
      </c>
      <c r="D688" s="4" t="s">
        <v>709</v>
      </c>
      <c r="E688" s="4" t="str">
        <f>IFERROR(VLOOKUP(G688, 'Padronização'!A:C, 2, FALSE), "")</f>
        <v>✅</v>
      </c>
      <c r="F688" s="23" t="str">
        <f>IFERROR(VLOOKUP(G688, 'Padronização'!A:C, 3, FALSE), "")</f>
        <v>ABM/MAS aplicado à evacuação</v>
      </c>
      <c r="G688" s="23" t="s">
        <v>45</v>
      </c>
      <c r="H688" s="33"/>
    </row>
    <row r="689" ht="22.5" hidden="1" customHeight="1">
      <c r="A689" s="4" t="s">
        <v>30</v>
      </c>
      <c r="B689" s="4">
        <v>2021.0</v>
      </c>
      <c r="C689" s="4" t="s">
        <v>33</v>
      </c>
      <c r="D689" s="4" t="s">
        <v>933</v>
      </c>
      <c r="E689" s="4" t="str">
        <f>IFERROR(VLOOKUP(G689, 'Padronização'!A:C, 2, FALSE), "")</f>
        <v>⚠️</v>
      </c>
      <c r="F689" s="23" t="str">
        <f>IFERROR(VLOOKUP(G689, 'Padronização'!A:C, 3, FALSE), "")</f>
        <v>Emergência sem evacuação clara</v>
      </c>
      <c r="G689" s="23" t="s">
        <v>43</v>
      </c>
      <c r="H689" s="33"/>
    </row>
    <row r="690" ht="22.5" hidden="1" customHeight="1">
      <c r="A690" s="4" t="s">
        <v>30</v>
      </c>
      <c r="B690" s="4">
        <v>2021.0</v>
      </c>
      <c r="C690" s="4" t="s">
        <v>33</v>
      </c>
      <c r="D690" s="4" t="s">
        <v>934</v>
      </c>
      <c r="E690" s="4" t="str">
        <f>IFERROR(VLOOKUP(G690, 'Padronização'!A:C, 2, FALSE), "")</f>
        <v>⚠️</v>
      </c>
      <c r="F690" s="23" t="str">
        <f>IFERROR(VLOOKUP(G690, 'Padronização'!A:C, 3, FALSE), "")</f>
        <v>Emergência sem evacuação clara</v>
      </c>
      <c r="G690" s="23" t="s">
        <v>43</v>
      </c>
      <c r="H690" s="33"/>
    </row>
    <row r="691" ht="22.5" hidden="1" customHeight="1">
      <c r="A691" s="4" t="s">
        <v>30</v>
      </c>
      <c r="B691" s="4">
        <v>2021.0</v>
      </c>
      <c r="C691" s="4" t="s">
        <v>33</v>
      </c>
      <c r="D691" s="4" t="s">
        <v>935</v>
      </c>
      <c r="E691" s="4" t="str">
        <f>IFERROR(VLOOKUP(G691, 'Padronização'!A:C, 2, FALSE), "")</f>
        <v>❌</v>
      </c>
      <c r="F691" s="23" t="str">
        <f>IFERROR(VLOOKUP(G691, 'Padronização'!A:C, 3, FALSE), "")</f>
        <v>Não aborda cenário de crise ou desastre</v>
      </c>
      <c r="G691" s="3" t="s">
        <v>31</v>
      </c>
      <c r="H691" s="33"/>
    </row>
    <row r="692" ht="22.5" hidden="1" customHeight="1">
      <c r="A692" s="4" t="s">
        <v>30</v>
      </c>
      <c r="B692" s="4">
        <v>2021.0</v>
      </c>
      <c r="C692" s="4" t="s">
        <v>87</v>
      </c>
      <c r="D692" s="4" t="s">
        <v>936</v>
      </c>
      <c r="E692" s="4" t="str">
        <f>IFERROR(VLOOKUP(G692, 'Padronização'!A:C, 2, FALSE), "")</f>
        <v>❌</v>
      </c>
      <c r="F692" s="23" t="str">
        <f>IFERROR(VLOOKUP(G692, 'Padronização'!A:C, 3, FALSE), "")</f>
        <v>Transporte / tráfego em operação normal</v>
      </c>
      <c r="G692" s="23" t="s">
        <v>19</v>
      </c>
      <c r="H692" s="33"/>
    </row>
    <row r="693" ht="22.5" hidden="1" customHeight="1">
      <c r="A693" s="4" t="s">
        <v>30</v>
      </c>
      <c r="B693" s="4">
        <v>2021.0</v>
      </c>
      <c r="C693" s="4" t="s">
        <v>87</v>
      </c>
      <c r="D693" s="4" t="s">
        <v>937</v>
      </c>
      <c r="E693" s="4" t="str">
        <f>IFERROR(VLOOKUP(G693, 'Padronização'!A:C, 2, FALSE), "")</f>
        <v>⚠️</v>
      </c>
      <c r="F693" s="23" t="str">
        <f>IFERROR(VLOOKUP(G693, 'Padronização'!A:C, 3, FALSE), "")</f>
        <v>Emergência sem evacuação clara</v>
      </c>
      <c r="G693" s="23" t="s">
        <v>43</v>
      </c>
      <c r="H693" s="33"/>
    </row>
    <row r="694" ht="22.5" customHeight="1">
      <c r="A694" s="4" t="s">
        <v>30</v>
      </c>
      <c r="B694" s="4">
        <v>2021.0</v>
      </c>
      <c r="C694" s="4" t="s">
        <v>33</v>
      </c>
      <c r="D694" s="4" t="s">
        <v>938</v>
      </c>
      <c r="E694" s="4" t="str">
        <f>IFERROR(VLOOKUP(G694, 'Padronização'!A:C, 2, FALSE), "")</f>
        <v>✅</v>
      </c>
      <c r="F694" s="23" t="str">
        <f>IFERROR(VLOOKUP(G694, 'Padronização'!A:C, 3, FALSE), "")</f>
        <v>ABM/MAS aplicado à evacuação</v>
      </c>
      <c r="G694" s="23" t="s">
        <v>45</v>
      </c>
      <c r="H694" s="33"/>
    </row>
    <row r="695" ht="22.5" customHeight="1">
      <c r="A695" s="4" t="s">
        <v>30</v>
      </c>
      <c r="B695" s="4">
        <v>2021.0</v>
      </c>
      <c r="C695" s="4" t="s">
        <v>33</v>
      </c>
      <c r="D695" s="4" t="s">
        <v>939</v>
      </c>
      <c r="E695" s="4" t="str">
        <f>IFERROR(VLOOKUP(G695, 'Padronização'!A:C, 2, FALSE), "")</f>
        <v>✅</v>
      </c>
      <c r="F695" s="23" t="str">
        <f>IFERROR(VLOOKUP(G695, 'Padronização'!A:C, 3, FALSE), "")</f>
        <v>Resposta humana a alertas e decisões</v>
      </c>
      <c r="G695" s="23" t="s">
        <v>50</v>
      </c>
      <c r="H695" s="33"/>
    </row>
    <row r="696" ht="22.5" hidden="1" customHeight="1">
      <c r="A696" s="4" t="s">
        <v>30</v>
      </c>
      <c r="B696" s="4">
        <v>2021.0</v>
      </c>
      <c r="C696" s="4" t="s">
        <v>33</v>
      </c>
      <c r="D696" s="4" t="s">
        <v>940</v>
      </c>
      <c r="E696" s="4" t="str">
        <f>IFERROR(VLOOKUP(G696, 'Padronização'!A:C, 2, FALSE), "")</f>
        <v>⚠️</v>
      </c>
      <c r="F696" s="23" t="str">
        <f>IFERROR(VLOOKUP(G696, 'Padronização'!A:C, 3, FALSE), "")</f>
        <v>Emergência sem evacuação clara</v>
      </c>
      <c r="G696" s="23" t="s">
        <v>43</v>
      </c>
      <c r="H696" s="33"/>
    </row>
    <row r="697" ht="22.5" hidden="1" customHeight="1">
      <c r="A697" s="4" t="s">
        <v>30</v>
      </c>
      <c r="B697" s="4">
        <v>2021.0</v>
      </c>
      <c r="C697" s="4" t="s">
        <v>33</v>
      </c>
      <c r="D697" s="4" t="s">
        <v>941</v>
      </c>
      <c r="E697" s="4" t="str">
        <f>IFERROR(VLOOKUP(G697, 'Padronização'!A:C, 2, FALSE), "")</f>
        <v>❌</v>
      </c>
      <c r="F697" s="23" t="str">
        <f>IFERROR(VLOOKUP(G697, 'Padronização'!A:C, 3, FALSE), "")</f>
        <v>Não aborda cenário de crise ou desastre</v>
      </c>
      <c r="G697" s="23" t="s">
        <v>31</v>
      </c>
      <c r="H697" s="33"/>
    </row>
    <row r="698" ht="22.5" hidden="1" customHeight="1">
      <c r="A698" s="4" t="s">
        <v>30</v>
      </c>
      <c r="B698" s="4">
        <v>2021.0</v>
      </c>
      <c r="C698" s="4" t="s">
        <v>33</v>
      </c>
      <c r="D698" s="4" t="s">
        <v>942</v>
      </c>
      <c r="E698" s="4" t="str">
        <f>IFERROR(VLOOKUP(G698, 'Padronização'!A:C, 2, FALSE), "")</f>
        <v>❌</v>
      </c>
      <c r="F698" s="23" t="str">
        <f>IFERROR(VLOOKUP(G698, 'Padronização'!A:C, 3, FALSE), "")</f>
        <v>Energia, grid, V2G; crise tratada como operação técnica</v>
      </c>
      <c r="G698" s="3" t="s">
        <v>12</v>
      </c>
      <c r="H698" s="33"/>
    </row>
    <row r="699" ht="22.5" hidden="1" customHeight="1">
      <c r="A699" s="4" t="s">
        <v>30</v>
      </c>
      <c r="B699" s="4">
        <v>2021.0</v>
      </c>
      <c r="C699" s="4" t="s">
        <v>33</v>
      </c>
      <c r="D699" s="4" t="s">
        <v>943</v>
      </c>
      <c r="E699" s="4" t="str">
        <f>IFERROR(VLOOKUP(G699, 'Padronização'!A:C, 2, FALSE), "")</f>
        <v>⚠️</v>
      </c>
      <c r="F699" s="23" t="str">
        <f>IFERROR(VLOOKUP(G699, 'Padronização'!A:C, 3, FALSE), "")</f>
        <v>Emergência com evacuação específica</v>
      </c>
      <c r="G699" s="23" t="s">
        <v>57</v>
      </c>
      <c r="H699" s="33"/>
    </row>
    <row r="700" ht="22.5" hidden="1" customHeight="1">
      <c r="A700" s="4" t="s">
        <v>30</v>
      </c>
      <c r="B700" s="4">
        <v>2021.0</v>
      </c>
      <c r="C700" s="4" t="s">
        <v>33</v>
      </c>
      <c r="D700" s="4" t="s">
        <v>944</v>
      </c>
      <c r="E700" s="4" t="str">
        <f>IFERROR(VLOOKUP(G700, 'Padronização'!A:C, 2, FALSE), "")</f>
        <v>⚠️</v>
      </c>
      <c r="F700" s="23" t="str">
        <f>IFERROR(VLOOKUP(G700, 'Padronização'!A:C, 3, FALSE), "")</f>
        <v>Crise explícita com foco em infraestrutura</v>
      </c>
      <c r="G700" s="23" t="s">
        <v>40</v>
      </c>
      <c r="H700" s="33"/>
    </row>
    <row r="701" ht="22.5" hidden="1" customHeight="1">
      <c r="A701" s="4" t="s">
        <v>30</v>
      </c>
      <c r="B701" s="4">
        <v>2021.0</v>
      </c>
      <c r="C701" s="4" t="s">
        <v>33</v>
      </c>
      <c r="D701" s="4" t="s">
        <v>945</v>
      </c>
      <c r="E701" s="4" t="str">
        <f>IFERROR(VLOOKUP(G701, 'Padronização'!A:C, 2, FALSE), "")</f>
        <v>⚠️</v>
      </c>
      <c r="F701" s="23" t="str">
        <f>IFERROR(VLOOKUP(G701, 'Padronização'!A:C, 3, FALSE), "")</f>
        <v>Emergência com evacuação específica</v>
      </c>
      <c r="G701" s="23" t="s">
        <v>57</v>
      </c>
      <c r="H701" s="33"/>
    </row>
    <row r="702" ht="22.5" customHeight="1">
      <c r="A702" s="4" t="s">
        <v>30</v>
      </c>
      <c r="B702" s="4">
        <v>2021.0</v>
      </c>
      <c r="C702" s="4" t="s">
        <v>33</v>
      </c>
      <c r="D702" s="4" t="s">
        <v>946</v>
      </c>
      <c r="E702" s="4" t="str">
        <f>IFERROR(VLOOKUP(G702, 'Padronização'!A:C, 2, FALSE), "")</f>
        <v>✅</v>
      </c>
      <c r="F702" s="23" t="str">
        <f>IFERROR(VLOOKUP(G702, 'Padronização'!A:C, 3, FALSE), "")</f>
        <v>ABM/MAS aplicado à evacuação</v>
      </c>
      <c r="G702" s="23" t="s">
        <v>45</v>
      </c>
      <c r="H702" s="33"/>
    </row>
    <row r="703" ht="22.5" hidden="1" customHeight="1">
      <c r="A703" s="4" t="s">
        <v>30</v>
      </c>
      <c r="B703" s="4">
        <v>2021.0</v>
      </c>
      <c r="C703" s="4" t="s">
        <v>33</v>
      </c>
      <c r="D703" s="4" t="s">
        <v>947</v>
      </c>
      <c r="E703" s="4" t="str">
        <f>IFERROR(VLOOKUP(G703, 'Padronização'!A:C, 2, FALSE), "")</f>
        <v>❌</v>
      </c>
      <c r="F703" s="23" t="str">
        <f>IFERROR(VLOOKUP(G703, 'Padronização'!A:C, 3, FALSE), "")</f>
        <v>Supply chain / impacto econômico indireto</v>
      </c>
      <c r="G703" s="23" t="s">
        <v>34</v>
      </c>
      <c r="H703" s="33"/>
    </row>
    <row r="704" ht="22.5" hidden="1" customHeight="1">
      <c r="A704" s="4" t="s">
        <v>30</v>
      </c>
      <c r="B704" s="4">
        <v>2021.0</v>
      </c>
      <c r="C704" s="4" t="s">
        <v>33</v>
      </c>
      <c r="D704" s="4" t="s">
        <v>948</v>
      </c>
      <c r="E704" s="4" t="str">
        <f>IFERROR(VLOOKUP(G704, 'Padronização'!A:C, 2, FALSE), "")</f>
        <v>⚠️</v>
      </c>
      <c r="F704" s="23" t="str">
        <f>IFERROR(VLOOKUP(G704, 'Padronização'!A:C, 3, FALSE), "")</f>
        <v>Emergência sem evacuação clara</v>
      </c>
      <c r="G704" s="23" t="s">
        <v>43</v>
      </c>
      <c r="H704" s="33"/>
    </row>
    <row r="705" ht="22.5" hidden="1" customHeight="1">
      <c r="A705" s="4" t="s">
        <v>30</v>
      </c>
      <c r="B705" s="4">
        <v>2021.0</v>
      </c>
      <c r="C705" s="4" t="s">
        <v>87</v>
      </c>
      <c r="D705" s="4" t="s">
        <v>949</v>
      </c>
      <c r="E705" s="4" t="str">
        <f>IFERROR(VLOOKUP(G705, 'Padronização'!A:C, 2, FALSE), "")</f>
        <v>⚠️</v>
      </c>
      <c r="F705" s="23" t="str">
        <f>IFERROR(VLOOKUP(G705, 'Padronização'!A:C, 3, FALSE), "")</f>
        <v>Crise explícita com foco em infraestrutura</v>
      </c>
      <c r="G705" s="23" t="s">
        <v>40</v>
      </c>
      <c r="H705" s="33"/>
    </row>
    <row r="706" ht="22.5" hidden="1" customHeight="1">
      <c r="A706" s="4" t="s">
        <v>30</v>
      </c>
      <c r="B706" s="4">
        <v>2021.0</v>
      </c>
      <c r="C706" s="4" t="s">
        <v>87</v>
      </c>
      <c r="D706" s="4" t="s">
        <v>950</v>
      </c>
      <c r="E706" s="4" t="str">
        <f>IFERROR(VLOOKUP(G706, 'Padronização'!A:C, 2, FALSE), "")</f>
        <v>❌</v>
      </c>
      <c r="F706" s="23" t="str">
        <f>IFERROR(VLOOKUP(G706, 'Padronização'!A:C, 3, FALSE), "")</f>
        <v>Transporte / tráfego em operação normal</v>
      </c>
      <c r="G706" s="23" t="s">
        <v>19</v>
      </c>
      <c r="H706" s="33"/>
    </row>
    <row r="707" ht="22.5" customHeight="1">
      <c r="A707" s="4" t="s">
        <v>30</v>
      </c>
      <c r="B707" s="4">
        <v>2021.0</v>
      </c>
      <c r="C707" s="4" t="s">
        <v>33</v>
      </c>
      <c r="D707" s="4" t="s">
        <v>951</v>
      </c>
      <c r="E707" s="4" t="str">
        <f>IFERROR(VLOOKUP(G707, 'Padronização'!A:C, 2, FALSE), "")</f>
        <v>✅</v>
      </c>
      <c r="F707" s="23" t="str">
        <f>IFERROR(VLOOKUP(G707, 'Padronização'!A:C, 3, FALSE), "")</f>
        <v>ABM/MAS aplicado à evacuação</v>
      </c>
      <c r="G707" s="23" t="s">
        <v>45</v>
      </c>
      <c r="H707" s="33"/>
    </row>
    <row r="708" ht="22.5" customHeight="1">
      <c r="A708" s="4" t="s">
        <v>30</v>
      </c>
      <c r="B708" s="4">
        <v>2021.0</v>
      </c>
      <c r="C708" s="4" t="s">
        <v>33</v>
      </c>
      <c r="D708" s="4" t="s">
        <v>718</v>
      </c>
      <c r="E708" s="4" t="str">
        <f>IFERROR(VLOOKUP(G708, 'Padronização'!A:C, 2, FALSE), "")</f>
        <v>✅</v>
      </c>
      <c r="F708" s="23" t="str">
        <f>IFERROR(VLOOKUP(G708, 'Padronização'!A:C, 3, FALSE), "")</f>
        <v>ABM/MAS aplicado à evacuação</v>
      </c>
      <c r="G708" s="23" t="s">
        <v>45</v>
      </c>
      <c r="H708" s="33"/>
    </row>
    <row r="709" ht="22.5" hidden="1" customHeight="1">
      <c r="A709" s="4" t="s">
        <v>30</v>
      </c>
      <c r="B709" s="4">
        <v>2021.0</v>
      </c>
      <c r="C709" s="4" t="s">
        <v>33</v>
      </c>
      <c r="D709" s="4" t="s">
        <v>952</v>
      </c>
      <c r="E709" s="4" t="str">
        <f>IFERROR(VLOOKUP(G709, 'Padronização'!A:C, 2, FALSE), "")</f>
        <v>⚠️</v>
      </c>
      <c r="F709" s="23" t="str">
        <f>IFERROR(VLOOKUP(G709, 'Padronização'!A:C, 3, FALSE), "")</f>
        <v>Emergência sem evacuação clara</v>
      </c>
      <c r="G709" s="23" t="s">
        <v>43</v>
      </c>
      <c r="H709" s="33"/>
    </row>
    <row r="710" ht="22.5" hidden="1" customHeight="1">
      <c r="A710" s="4" t="s">
        <v>30</v>
      </c>
      <c r="B710" s="4">
        <v>2021.0</v>
      </c>
      <c r="C710" s="4" t="s">
        <v>33</v>
      </c>
      <c r="D710" s="4" t="s">
        <v>953</v>
      </c>
      <c r="E710" s="4" t="str">
        <f>IFERROR(VLOOKUP(G710, 'Padronização'!A:C, 2, FALSE), "")</f>
        <v>⚠️</v>
      </c>
      <c r="F710" s="23" t="str">
        <f>IFERROR(VLOOKUP(G710, 'Padronização'!A:C, 3, FALSE), "")</f>
        <v>Emergência sem evacuação clara</v>
      </c>
      <c r="G710" s="23" t="s">
        <v>43</v>
      </c>
      <c r="H710" s="33"/>
    </row>
    <row r="711" ht="22.5" hidden="1" customHeight="1">
      <c r="A711" s="4" t="s">
        <v>30</v>
      </c>
      <c r="B711" s="4">
        <v>2021.0</v>
      </c>
      <c r="C711" s="4" t="s">
        <v>33</v>
      </c>
      <c r="D711" s="4" t="s">
        <v>954</v>
      </c>
      <c r="E711" s="4" t="str">
        <f>IFERROR(VLOOKUP(G711, 'Padronização'!A:C, 2, FALSE), "")</f>
        <v>⚠️</v>
      </c>
      <c r="F711" s="23" t="str">
        <f>IFERROR(VLOOKUP(G711, 'Padronização'!A:C, 3, FALSE), "")</f>
        <v>Emergência sem evacuação clara</v>
      </c>
      <c r="G711" s="23" t="s">
        <v>43</v>
      </c>
      <c r="H711" s="33"/>
    </row>
    <row r="712" ht="22.5" customHeight="1">
      <c r="A712" s="4" t="s">
        <v>30</v>
      </c>
      <c r="B712" s="4">
        <v>2021.0</v>
      </c>
      <c r="C712" s="4" t="s">
        <v>87</v>
      </c>
      <c r="D712" s="4" t="s">
        <v>955</v>
      </c>
      <c r="E712" s="4" t="str">
        <f>IFERROR(VLOOKUP(G712, 'Padronização'!A:C, 2, FALSE), "")</f>
        <v>✅</v>
      </c>
      <c r="F712" s="23" t="str">
        <f>IFERROR(VLOOKUP(G712, 'Padronização'!A:C, 3, FALSE), "")</f>
        <v>ABM/MAS aplicado à evacuação</v>
      </c>
      <c r="G712" s="23" t="s">
        <v>45</v>
      </c>
      <c r="H712" s="33"/>
    </row>
    <row r="713" ht="22.5" customHeight="1">
      <c r="A713" s="4" t="s">
        <v>30</v>
      </c>
      <c r="B713" s="4">
        <v>2021.0</v>
      </c>
      <c r="C713" s="4" t="s">
        <v>33</v>
      </c>
      <c r="D713" s="4" t="s">
        <v>956</v>
      </c>
      <c r="E713" s="4" t="str">
        <f>IFERROR(VLOOKUP(G713, 'Padronização'!A:C, 2, FALSE), "")</f>
        <v>✅</v>
      </c>
      <c r="F713" s="23" t="str">
        <f>IFERROR(VLOOKUP(G713, 'Padronização'!A:C, 3, FALSE), "")</f>
        <v>ABM/MAS focado em comportamento humano cognitivo</v>
      </c>
      <c r="G713" s="3" t="s">
        <v>47</v>
      </c>
      <c r="H713" s="33"/>
    </row>
    <row r="714" ht="22.5" customHeight="1">
      <c r="A714" s="4" t="s">
        <v>30</v>
      </c>
      <c r="B714" s="4">
        <v>2021.0</v>
      </c>
      <c r="C714" s="4" t="s">
        <v>33</v>
      </c>
      <c r="D714" s="4" t="s">
        <v>723</v>
      </c>
      <c r="E714" s="4" t="str">
        <f>IFERROR(VLOOKUP(G714, 'Padronização'!A:C, 2, FALSE), "")</f>
        <v>✅</v>
      </c>
      <c r="F714" s="23" t="str">
        <f>IFERROR(VLOOKUP(G714, 'Padronização'!A:C, 3, FALSE), "")</f>
        <v>ABM/MAS aplicado à evacuação</v>
      </c>
      <c r="G714" s="23" t="s">
        <v>45</v>
      </c>
      <c r="H714" s="33"/>
    </row>
    <row r="715" ht="22.5" customHeight="1">
      <c r="A715" s="4" t="s">
        <v>30</v>
      </c>
      <c r="B715" s="4">
        <v>2021.0</v>
      </c>
      <c r="C715" s="4" t="s">
        <v>33</v>
      </c>
      <c r="D715" s="4" t="s">
        <v>957</v>
      </c>
      <c r="E715" s="4" t="str">
        <f>IFERROR(VLOOKUP(G715, 'Padronização'!A:C, 2, FALSE), "")</f>
        <v>✅</v>
      </c>
      <c r="F715" s="23" t="str">
        <f>IFERROR(VLOOKUP(G715, 'Padronização'!A:C, 3, FALSE), "")</f>
        <v>ABM/MAS aplicado à evacuação</v>
      </c>
      <c r="G715" s="23" t="s">
        <v>45</v>
      </c>
      <c r="H715" s="33"/>
    </row>
    <row r="716" ht="22.5" customHeight="1">
      <c r="A716" s="4" t="s">
        <v>30</v>
      </c>
      <c r="B716" s="4">
        <v>2021.0</v>
      </c>
      <c r="C716" s="4" t="s">
        <v>33</v>
      </c>
      <c r="D716" s="4" t="s">
        <v>728</v>
      </c>
      <c r="E716" s="4" t="str">
        <f>IFERROR(VLOOKUP(G716, 'Padronização'!A:C, 2, FALSE), "")</f>
        <v>✅</v>
      </c>
      <c r="F716" s="23" t="str">
        <f>IFERROR(VLOOKUP(G716, 'Padronização'!A:C, 3, FALSE), "")</f>
        <v>ABM/MAS aplicado à evacuação</v>
      </c>
      <c r="G716" s="23" t="s">
        <v>45</v>
      </c>
      <c r="H716" s="33"/>
    </row>
    <row r="717" ht="22.5" customHeight="1">
      <c r="A717" s="4" t="s">
        <v>30</v>
      </c>
      <c r="B717" s="4">
        <v>2021.0</v>
      </c>
      <c r="C717" s="4" t="s">
        <v>33</v>
      </c>
      <c r="D717" s="4" t="s">
        <v>730</v>
      </c>
      <c r="E717" s="4" t="str">
        <f>IFERROR(VLOOKUP(G717, 'Padronização'!A:C, 2, FALSE), "")</f>
        <v>✅</v>
      </c>
      <c r="F717" s="23" t="str">
        <f>IFERROR(VLOOKUP(G717, 'Padronização'!A:C, 3, FALSE), "")</f>
        <v>ABM/MAS focado em comportamento humano cognitivo</v>
      </c>
      <c r="G717" s="23" t="s">
        <v>47</v>
      </c>
      <c r="H717" s="33"/>
    </row>
    <row r="718" ht="22.5" hidden="1" customHeight="1">
      <c r="A718" s="4" t="s">
        <v>30</v>
      </c>
      <c r="B718" s="4">
        <v>2021.0</v>
      </c>
      <c r="C718" s="4" t="s">
        <v>33</v>
      </c>
      <c r="D718" s="4" t="s">
        <v>958</v>
      </c>
      <c r="E718" s="4" t="str">
        <f>IFERROR(VLOOKUP(G718, 'Padronização'!A:C, 2, FALSE), "")</f>
        <v>❌</v>
      </c>
      <c r="F718" s="23" t="str">
        <f>IFERROR(VLOOKUP(G718, 'Padronização'!A:C, 3, FALSE), "")</f>
        <v>Supply chain / impacto econômico indireto</v>
      </c>
      <c r="G718" s="23" t="s">
        <v>34</v>
      </c>
      <c r="H718" s="33"/>
    </row>
    <row r="719" ht="22.5" hidden="1" customHeight="1">
      <c r="A719" s="4" t="s">
        <v>30</v>
      </c>
      <c r="B719" s="4">
        <v>2021.0</v>
      </c>
      <c r="C719" s="4" t="s">
        <v>33</v>
      </c>
      <c r="D719" s="4" t="s">
        <v>959</v>
      </c>
      <c r="E719" s="4" t="str">
        <f>IFERROR(VLOOKUP(G719, 'Padronização'!A:C, 2, FALSE), "")</f>
        <v>⚠️</v>
      </c>
      <c r="F719" s="23" t="str">
        <f>IFERROR(VLOOKUP(G719, 'Padronização'!A:C, 3, FALSE), "")</f>
        <v>Emergência sem evacuação clara</v>
      </c>
      <c r="G719" s="23" t="s">
        <v>43</v>
      </c>
      <c r="H719" s="33"/>
    </row>
    <row r="720" ht="22.5" hidden="1" customHeight="1">
      <c r="A720" s="4" t="s">
        <v>30</v>
      </c>
      <c r="B720" s="4">
        <v>2021.0</v>
      </c>
      <c r="C720" s="4" t="s">
        <v>87</v>
      </c>
      <c r="D720" s="4" t="s">
        <v>960</v>
      </c>
      <c r="E720" s="4" t="str">
        <f>IFERROR(VLOOKUP(G720, 'Padronização'!A:C, 2, FALSE), "")</f>
        <v>❌</v>
      </c>
      <c r="F720" s="23" t="str">
        <f>IFERROR(VLOOKUP(G720, 'Padronização'!A:C, 3, FALSE), "")</f>
        <v>Telecomunicações emergenciais / alocação de rede; foco técnico</v>
      </c>
      <c r="G720" s="23" t="s">
        <v>5</v>
      </c>
      <c r="H720" s="33"/>
    </row>
    <row r="721" ht="22.5" hidden="1" customHeight="1">
      <c r="A721" s="4" t="s">
        <v>30</v>
      </c>
      <c r="B721" s="4">
        <v>2021.0</v>
      </c>
      <c r="C721" s="4" t="s">
        <v>33</v>
      </c>
      <c r="D721" s="4" t="s">
        <v>961</v>
      </c>
      <c r="E721" s="4" t="str">
        <f>IFERROR(VLOOKUP(G721, 'Padronização'!A:C, 2, FALSE), "")</f>
        <v>❌</v>
      </c>
      <c r="F721" s="23" t="str">
        <f>IFERROR(VLOOKUP(G721, 'Padronização'!A:C, 3, FALSE), "")</f>
        <v>Artigo metodológico genérico (framework, design, how-to)</v>
      </c>
      <c r="G721" s="23" t="s">
        <v>27</v>
      </c>
      <c r="H721" s="33"/>
    </row>
    <row r="722" ht="22.5" hidden="1" customHeight="1">
      <c r="A722" s="4" t="s">
        <v>30</v>
      </c>
      <c r="B722" s="4">
        <v>2021.0</v>
      </c>
      <c r="C722" s="4" t="s">
        <v>33</v>
      </c>
      <c r="D722" s="4" t="s">
        <v>962</v>
      </c>
      <c r="E722" s="4" t="str">
        <f>IFERROR(VLOOKUP(G722, 'Padronização'!A:C, 2, FALSE), "")</f>
        <v>⚠️</v>
      </c>
      <c r="F722" s="23" t="str">
        <f>IFERROR(VLOOKUP(G722, 'Padronização'!A:C, 3, FALSE), "")</f>
        <v>Emergência sem evacuação clara</v>
      </c>
      <c r="G722" s="23" t="s">
        <v>43</v>
      </c>
      <c r="H722" s="33"/>
    </row>
    <row r="723" ht="22.5" customHeight="1">
      <c r="A723" s="4" t="s">
        <v>30</v>
      </c>
      <c r="B723" s="4">
        <v>2021.0</v>
      </c>
      <c r="C723" s="4" t="s">
        <v>33</v>
      </c>
      <c r="D723" s="4" t="s">
        <v>732</v>
      </c>
      <c r="E723" s="4" t="str">
        <f>IFERROR(VLOOKUP(G723, 'Padronização'!A:C, 2, FALSE), "")</f>
        <v>✅</v>
      </c>
      <c r="F723" s="23" t="str">
        <f>IFERROR(VLOOKUP(G723, 'Padronização'!A:C, 3, FALSE), "")</f>
        <v>Resposta humana a alertas e decisões</v>
      </c>
      <c r="G723" s="23" t="s">
        <v>50</v>
      </c>
      <c r="H723" s="33"/>
    </row>
    <row r="724" ht="22.5" hidden="1" customHeight="1">
      <c r="A724" s="4" t="s">
        <v>30</v>
      </c>
      <c r="B724" s="4">
        <v>2021.0</v>
      </c>
      <c r="C724" s="4" t="s">
        <v>33</v>
      </c>
      <c r="D724" s="4" t="s">
        <v>963</v>
      </c>
      <c r="E724" s="4" t="str">
        <f>IFERROR(VLOOKUP(G724, 'Padronização'!A:C, 2, FALSE), "")</f>
        <v>⚠️</v>
      </c>
      <c r="F724" s="23" t="str">
        <f>IFERROR(VLOOKUP(G724, 'Padronização'!A:C, 3, FALSE), "")</f>
        <v>Emergência sem evacuação clara</v>
      </c>
      <c r="G724" s="23" t="s">
        <v>43</v>
      </c>
      <c r="H724" s="33"/>
    </row>
    <row r="725" ht="22.5" hidden="1" customHeight="1">
      <c r="A725" s="4" t="s">
        <v>30</v>
      </c>
      <c r="B725" s="4">
        <v>2021.0</v>
      </c>
      <c r="C725" s="4" t="s">
        <v>87</v>
      </c>
      <c r="D725" s="4" t="s">
        <v>964</v>
      </c>
      <c r="E725" s="4" t="str">
        <f>IFERROR(VLOOKUP(G725, 'Padronização'!A:C, 2, FALSE), "")</f>
        <v>❌</v>
      </c>
      <c r="F725" s="23" t="str">
        <f>IFERROR(VLOOKUP(G725, 'Padronização'!A:C, 3, FALSE), "")</f>
        <v>Telecomunicações emergenciais / alocação de rede; foco técnico</v>
      </c>
      <c r="G725" s="23" t="s">
        <v>5</v>
      </c>
      <c r="H725" s="33"/>
    </row>
    <row r="726" ht="22.5" customHeight="1">
      <c r="A726" s="4" t="s">
        <v>30</v>
      </c>
      <c r="B726" s="4">
        <v>2021.0</v>
      </c>
      <c r="C726" s="4" t="s">
        <v>87</v>
      </c>
      <c r="D726" s="4" t="s">
        <v>965</v>
      </c>
      <c r="E726" s="4" t="str">
        <f>IFERROR(VLOOKUP(G726, 'Padronização'!A:C, 2, FALSE), "")</f>
        <v>✅</v>
      </c>
      <c r="F726" s="23" t="str">
        <f>IFERROR(VLOOKUP(G726, 'Padronização'!A:C, 3, FALSE), "")</f>
        <v>ABM/MAS aplicado à evacuação</v>
      </c>
      <c r="G726" s="23" t="s">
        <v>45</v>
      </c>
      <c r="H726" s="33"/>
    </row>
    <row r="727" ht="22.5" customHeight="1">
      <c r="A727" s="4" t="s">
        <v>30</v>
      </c>
      <c r="B727" s="4">
        <v>2021.0</v>
      </c>
      <c r="C727" s="4" t="s">
        <v>87</v>
      </c>
      <c r="D727" s="4" t="s">
        <v>736</v>
      </c>
      <c r="E727" s="4" t="str">
        <f>IFERROR(VLOOKUP(G727, 'Padronização'!A:C, 2, FALSE), "")</f>
        <v>✅</v>
      </c>
      <c r="F727" s="23" t="str">
        <f>IFERROR(VLOOKUP(G727, 'Padronização'!A:C, 3, FALSE), "")</f>
        <v>ABM/MAS aplicado à evacuação</v>
      </c>
      <c r="G727" s="23" t="s">
        <v>45</v>
      </c>
      <c r="H727" s="33"/>
    </row>
    <row r="728" ht="22.5" hidden="1" customHeight="1">
      <c r="A728" s="4" t="s">
        <v>30</v>
      </c>
      <c r="B728" s="4">
        <v>2021.0</v>
      </c>
      <c r="C728" s="4" t="s">
        <v>33</v>
      </c>
      <c r="D728" s="4" t="s">
        <v>966</v>
      </c>
      <c r="E728" s="4" t="str">
        <f>IFERROR(VLOOKUP(G728, 'Padronização'!A:C, 2, FALSE), "")</f>
        <v>❌</v>
      </c>
      <c r="F728" s="23" t="str">
        <f>IFERROR(VLOOKUP(G728, 'Padronização'!A:C, 3, FALSE), "")</f>
        <v>Supply chain / impacto econômico indireto</v>
      </c>
      <c r="G728" s="23" t="s">
        <v>34</v>
      </c>
      <c r="H728" s="33"/>
    </row>
    <row r="729" ht="22.5" customHeight="1">
      <c r="A729" s="4" t="s">
        <v>30</v>
      </c>
      <c r="B729" s="4">
        <v>2021.0</v>
      </c>
      <c r="C729" s="4" t="s">
        <v>33</v>
      </c>
      <c r="D729" s="4" t="s">
        <v>737</v>
      </c>
      <c r="E729" s="4" t="str">
        <f>IFERROR(VLOOKUP(G729, 'Padronização'!A:C, 2, FALSE), "")</f>
        <v>✅</v>
      </c>
      <c r="F729" s="23" t="str">
        <f>IFERROR(VLOOKUP(G729, 'Padronização'!A:C, 3, FALSE), "")</f>
        <v>ABM/MAS aplicado à evacuação</v>
      </c>
      <c r="G729" s="23" t="s">
        <v>45</v>
      </c>
      <c r="H729" s="33"/>
    </row>
    <row r="730" ht="22.5" customHeight="1">
      <c r="A730" s="4" t="s">
        <v>30</v>
      </c>
      <c r="B730" s="4">
        <v>2021.0</v>
      </c>
      <c r="C730" s="4" t="s">
        <v>33</v>
      </c>
      <c r="D730" s="4" t="s">
        <v>738</v>
      </c>
      <c r="E730" s="4" t="str">
        <f>IFERROR(VLOOKUP(G730, 'Padronização'!A:C, 2, FALSE), "")</f>
        <v>✅</v>
      </c>
      <c r="F730" s="23" t="str">
        <f>IFERROR(VLOOKUP(G730, 'Padronização'!A:C, 3, FALSE), "")</f>
        <v>ABM/MAS aplicado à evacuação</v>
      </c>
      <c r="G730" s="23" t="s">
        <v>45</v>
      </c>
      <c r="H730" s="33"/>
    </row>
    <row r="731" ht="22.5" customHeight="1">
      <c r="A731" s="4" t="s">
        <v>30</v>
      </c>
      <c r="B731" s="4">
        <v>2021.0</v>
      </c>
      <c r="C731" s="4" t="s">
        <v>33</v>
      </c>
      <c r="D731" s="4" t="s">
        <v>740</v>
      </c>
      <c r="E731" s="4" t="str">
        <f>IFERROR(VLOOKUP(G731, 'Padronização'!A:C, 2, FALSE), "")</f>
        <v>✅</v>
      </c>
      <c r="F731" s="23" t="str">
        <f>IFERROR(VLOOKUP(G731, 'Padronização'!A:C, 3, FALSE), "")</f>
        <v>ABM/MAS aplicado à evacuação</v>
      </c>
      <c r="G731" s="23" t="s">
        <v>45</v>
      </c>
      <c r="H731" s="33"/>
    </row>
    <row r="732" ht="22.5" hidden="1" customHeight="1">
      <c r="A732" s="4" t="s">
        <v>30</v>
      </c>
      <c r="B732" s="4">
        <v>2021.0</v>
      </c>
      <c r="C732" s="4" t="s">
        <v>33</v>
      </c>
      <c r="D732" s="4" t="s">
        <v>967</v>
      </c>
      <c r="E732" s="4" t="str">
        <f>IFERROR(VLOOKUP(G732, 'Padronização'!A:C, 2, FALSE), "")</f>
        <v>❌</v>
      </c>
      <c r="F732" s="23" t="str">
        <f>IFERROR(VLOOKUP(G732, 'Padronização'!A:C, 3, FALSE), "")</f>
        <v>Transporte / tráfego em operação normal</v>
      </c>
      <c r="G732" s="23" t="s">
        <v>19</v>
      </c>
      <c r="H732" s="33"/>
    </row>
    <row r="733" ht="22.5" hidden="1" customHeight="1">
      <c r="A733" s="4" t="s">
        <v>30</v>
      </c>
      <c r="B733" s="4">
        <v>2021.0</v>
      </c>
      <c r="C733" s="4" t="s">
        <v>33</v>
      </c>
      <c r="D733" s="4" t="s">
        <v>968</v>
      </c>
      <c r="E733" s="4" t="str">
        <f>IFERROR(VLOOKUP(G733, 'Padronização'!A:C, 2, FALSE), "")</f>
        <v>❌</v>
      </c>
      <c r="F733" s="23" t="str">
        <f>IFERROR(VLOOKUP(G733, 'Padronização'!A:C, 3, FALSE), "")</f>
        <v>Transporte / tráfego em operação normal</v>
      </c>
      <c r="G733" s="23" t="s">
        <v>19</v>
      </c>
      <c r="H733" s="33"/>
    </row>
    <row r="734" ht="22.5" hidden="1" customHeight="1">
      <c r="A734" s="4" t="s">
        <v>30</v>
      </c>
      <c r="B734" s="4">
        <v>2021.0</v>
      </c>
      <c r="C734" s="4" t="s">
        <v>33</v>
      </c>
      <c r="D734" s="4" t="s">
        <v>969</v>
      </c>
      <c r="E734" s="4" t="str">
        <f>IFERROR(VLOOKUP(G734, 'Padronização'!A:C, 2, FALSE), "")</f>
        <v>❌</v>
      </c>
      <c r="F734" s="23" t="str">
        <f>IFERROR(VLOOKUP(G734, 'Padronização'!A:C, 3, FALSE), "")</f>
        <v>Telecomunicações emergenciais / alocação de rede; foco técnico</v>
      </c>
      <c r="G734" s="23" t="s">
        <v>5</v>
      </c>
      <c r="H734" s="33"/>
    </row>
    <row r="735" ht="22.5" hidden="1" customHeight="1">
      <c r="A735" s="4" t="s">
        <v>30</v>
      </c>
      <c r="B735" s="4">
        <v>2021.0</v>
      </c>
      <c r="C735" s="4" t="s">
        <v>87</v>
      </c>
      <c r="D735" s="4" t="s">
        <v>970</v>
      </c>
      <c r="E735" s="4" t="str">
        <f>IFERROR(VLOOKUP(G735, 'Padronização'!A:C, 2, FALSE), "")</f>
        <v>⚠️</v>
      </c>
      <c r="F735" s="23" t="str">
        <f>IFERROR(VLOOKUP(G735, 'Padronização'!A:C, 3, FALSE), "")</f>
        <v>Emergência com evacuação específica</v>
      </c>
      <c r="G735" s="23" t="s">
        <v>57</v>
      </c>
      <c r="H735" s="33"/>
    </row>
    <row r="736" ht="22.5" hidden="1" customHeight="1">
      <c r="A736" s="4" t="s">
        <v>30</v>
      </c>
      <c r="B736" s="4">
        <v>2021.0</v>
      </c>
      <c r="C736" s="4" t="s">
        <v>33</v>
      </c>
      <c r="D736" s="4" t="s">
        <v>971</v>
      </c>
      <c r="E736" s="4" t="str">
        <f>IFERROR(VLOOKUP(G736, 'Padronização'!A:C, 2, FALSE), "")</f>
        <v>❌</v>
      </c>
      <c r="F736" s="23" t="str">
        <f>IFERROR(VLOOKUP(G736, 'Padronização'!A:C, 3, FALSE), "")</f>
        <v>Não aborda cenário de crise ou desastre</v>
      </c>
      <c r="G736" s="23" t="s">
        <v>31</v>
      </c>
      <c r="H736" s="33"/>
    </row>
    <row r="737" ht="22.5" customHeight="1">
      <c r="A737" s="4" t="s">
        <v>30</v>
      </c>
      <c r="B737" s="4">
        <v>2021.0</v>
      </c>
      <c r="C737" s="4" t="s">
        <v>33</v>
      </c>
      <c r="D737" s="4" t="s">
        <v>742</v>
      </c>
      <c r="E737" s="4" t="str">
        <f>IFERROR(VLOOKUP(G737, 'Padronização'!A:C, 2, FALSE), "")</f>
        <v>✅</v>
      </c>
      <c r="F737" s="23" t="str">
        <f>IFERROR(VLOOKUP(G737, 'Padronização'!A:C, 3, FALSE), "")</f>
        <v>ABM/MAS aplicado à evacuação</v>
      </c>
      <c r="G737" s="23" t="s">
        <v>45</v>
      </c>
      <c r="H737" s="33"/>
    </row>
    <row r="738" ht="22.5" hidden="1" customHeight="1">
      <c r="A738" s="4" t="s">
        <v>30</v>
      </c>
      <c r="B738" s="4">
        <v>2021.0</v>
      </c>
      <c r="C738" s="4" t="s">
        <v>33</v>
      </c>
      <c r="D738" s="4" t="s">
        <v>972</v>
      </c>
      <c r="E738" s="4" t="str">
        <f>IFERROR(VLOOKUP(G738, 'Padronização'!A:C, 2, FALSE), "")</f>
        <v>⚠️</v>
      </c>
      <c r="F738" s="23" t="str">
        <f>IFERROR(VLOOKUP(G738, 'Padronização'!A:C, 3, FALSE), "")</f>
        <v>Crise explícita com foco em infraestrutura</v>
      </c>
      <c r="G738" s="23" t="s">
        <v>40</v>
      </c>
      <c r="H738" s="33"/>
    </row>
    <row r="739" ht="22.5" customHeight="1">
      <c r="A739" s="4" t="s">
        <v>30</v>
      </c>
      <c r="B739" s="4">
        <v>2021.0</v>
      </c>
      <c r="C739" s="4" t="s">
        <v>87</v>
      </c>
      <c r="D739" s="4" t="s">
        <v>973</v>
      </c>
      <c r="E739" s="4" t="str">
        <f>IFERROR(VLOOKUP(G739, 'Padronização'!A:C, 2, FALSE), "")</f>
        <v>✅</v>
      </c>
      <c r="F739" s="23" t="str">
        <f>IFERROR(VLOOKUP(G739, 'Padronização'!A:C, 3, FALSE), "")</f>
        <v>ABM/MAS focado em comportamento humano cognitivo</v>
      </c>
      <c r="G739" s="23" t="s">
        <v>47</v>
      </c>
      <c r="H739" s="33"/>
    </row>
    <row r="740" ht="22.5" customHeight="1">
      <c r="A740" s="4" t="s">
        <v>30</v>
      </c>
      <c r="B740" s="4">
        <v>2021.0</v>
      </c>
      <c r="C740" s="4" t="s">
        <v>33</v>
      </c>
      <c r="D740" s="4" t="s">
        <v>748</v>
      </c>
      <c r="E740" s="4" t="str">
        <f>IFERROR(VLOOKUP(G740, 'Padronização'!A:C, 2, FALSE), "")</f>
        <v>✅</v>
      </c>
      <c r="F740" s="23" t="str">
        <f>IFERROR(VLOOKUP(G740, 'Padronização'!A:C, 3, FALSE), "")</f>
        <v>ABM/MAS focado em comportamento humano cognitivo</v>
      </c>
      <c r="G740" s="3" t="s">
        <v>47</v>
      </c>
      <c r="H740" s="33"/>
    </row>
    <row r="741" ht="22.5" hidden="1" customHeight="1">
      <c r="A741" s="4" t="s">
        <v>30</v>
      </c>
      <c r="B741" s="4">
        <v>2021.0</v>
      </c>
      <c r="C741" s="4" t="s">
        <v>33</v>
      </c>
      <c r="D741" s="4" t="s">
        <v>974</v>
      </c>
      <c r="E741" s="4" t="str">
        <f>IFERROR(VLOOKUP(G741, 'Padronização'!A:C, 2, FALSE), "")</f>
        <v>❌</v>
      </c>
      <c r="F741" s="23" t="str">
        <f>IFERROR(VLOOKUP(G741, 'Padronização'!A:C, 3, FALSE), "")</f>
        <v>Não aborda cenário de crise ou desastre</v>
      </c>
      <c r="G741" s="3" t="s">
        <v>31</v>
      </c>
      <c r="H741" s="33"/>
    </row>
    <row r="742" ht="22.5" hidden="1" customHeight="1">
      <c r="A742" s="4" t="s">
        <v>30</v>
      </c>
      <c r="B742" s="4">
        <v>2021.0</v>
      </c>
      <c r="C742" s="4" t="s">
        <v>33</v>
      </c>
      <c r="D742" s="4" t="s">
        <v>975</v>
      </c>
      <c r="E742" s="4" t="str">
        <f>IFERROR(VLOOKUP(G742, 'Padronização'!A:C, 2, FALSE), "")</f>
        <v>⚠️</v>
      </c>
      <c r="F742" s="23" t="str">
        <f>IFERROR(VLOOKUP(G742, 'Padronização'!A:C, 3, FALSE), "")</f>
        <v>Emergência sem evacuação clara</v>
      </c>
      <c r="G742" s="3" t="s">
        <v>43</v>
      </c>
      <c r="H742" s="33"/>
    </row>
    <row r="743" ht="22.5" hidden="1" customHeight="1">
      <c r="A743" s="4" t="s">
        <v>30</v>
      </c>
      <c r="B743" s="4">
        <v>2021.0</v>
      </c>
      <c r="C743" s="4" t="s">
        <v>33</v>
      </c>
      <c r="D743" s="4" t="s">
        <v>976</v>
      </c>
      <c r="E743" s="4" t="str">
        <f>IFERROR(VLOOKUP(G743, 'Padronização'!A:C, 2, FALSE), "")</f>
        <v>⚠️</v>
      </c>
      <c r="F743" s="23" t="str">
        <f>IFERROR(VLOOKUP(G743, 'Padronização'!A:C, 3, FALSE), "")</f>
        <v>Crise explícita com foco em infraestrutura</v>
      </c>
      <c r="G743" s="23" t="s">
        <v>40</v>
      </c>
      <c r="H743" s="33"/>
    </row>
    <row r="744" ht="22.5" customHeight="1">
      <c r="A744" s="4" t="s">
        <v>30</v>
      </c>
      <c r="B744" s="4">
        <v>2021.0</v>
      </c>
      <c r="C744" s="4" t="s">
        <v>87</v>
      </c>
      <c r="D744" s="4" t="s">
        <v>977</v>
      </c>
      <c r="E744" s="4" t="str">
        <f>IFERROR(VLOOKUP(G744, 'Padronização'!A:C, 2, FALSE), "")</f>
        <v>✅</v>
      </c>
      <c r="F744" s="23" t="str">
        <f>IFERROR(VLOOKUP(G744, 'Padronização'!A:C, 3, FALSE), "")</f>
        <v>ABM/MAS aplicado à evacuação</v>
      </c>
      <c r="G744" s="23" t="s">
        <v>45</v>
      </c>
      <c r="H744" s="33"/>
    </row>
    <row r="745" ht="22.5" customHeight="1">
      <c r="A745" s="4" t="s">
        <v>30</v>
      </c>
      <c r="B745" s="4">
        <v>2021.0</v>
      </c>
      <c r="C745" s="4" t="s">
        <v>87</v>
      </c>
      <c r="D745" s="4" t="s">
        <v>755</v>
      </c>
      <c r="E745" s="4" t="str">
        <f>IFERROR(VLOOKUP(G745, 'Padronização'!A:C, 2, FALSE), "")</f>
        <v>✅</v>
      </c>
      <c r="F745" s="23" t="str">
        <f>IFERROR(VLOOKUP(G745, 'Padronização'!A:C, 3, FALSE), "")</f>
        <v>ABM/MAS aplicado à evacuação</v>
      </c>
      <c r="G745" s="23" t="s">
        <v>45</v>
      </c>
      <c r="H745" s="33"/>
    </row>
    <row r="746" ht="22.5" hidden="1" customHeight="1">
      <c r="A746" s="4" t="s">
        <v>30</v>
      </c>
      <c r="B746" s="4">
        <v>2021.0</v>
      </c>
      <c r="C746" s="4" t="s">
        <v>87</v>
      </c>
      <c r="D746" s="4" t="s">
        <v>978</v>
      </c>
      <c r="E746" s="4" t="str">
        <f>IFERROR(VLOOKUP(G746, 'Padronização'!A:C, 2, FALSE), "")</f>
        <v>⚠️</v>
      </c>
      <c r="F746" s="23" t="str">
        <f>IFERROR(VLOOKUP(G746, 'Padronização'!A:C, 3, FALSE), "")</f>
        <v>Emergência sem evacuação clara</v>
      </c>
      <c r="G746" s="23" t="s">
        <v>43</v>
      </c>
      <c r="H746" s="33"/>
    </row>
    <row r="747" ht="22.5" customHeight="1">
      <c r="A747" s="4" t="s">
        <v>30</v>
      </c>
      <c r="B747" s="4">
        <v>2021.0</v>
      </c>
      <c r="C747" s="4" t="s">
        <v>87</v>
      </c>
      <c r="D747" s="4" t="s">
        <v>757</v>
      </c>
      <c r="E747" s="4" t="str">
        <f>IFERROR(VLOOKUP(G747, 'Padronização'!A:C, 2, FALSE), "")</f>
        <v>✅</v>
      </c>
      <c r="F747" s="23" t="str">
        <f>IFERROR(VLOOKUP(G747, 'Padronização'!A:C, 3, FALSE), "")</f>
        <v>ABM/MAS aplicado à evacuação</v>
      </c>
      <c r="G747" s="23" t="s">
        <v>45</v>
      </c>
      <c r="H747" s="33"/>
    </row>
    <row r="748" ht="22.5" hidden="1" customHeight="1">
      <c r="A748" s="4" t="s">
        <v>30</v>
      </c>
      <c r="B748" s="4">
        <v>2021.0</v>
      </c>
      <c r="C748" s="4" t="s">
        <v>33</v>
      </c>
      <c r="D748" s="4" t="s">
        <v>979</v>
      </c>
      <c r="E748" s="4" t="str">
        <f>IFERROR(VLOOKUP(G748, 'Padronização'!A:C, 2, FALSE), "")</f>
        <v>❌</v>
      </c>
      <c r="F748" s="23" t="str">
        <f>IFERROR(VLOOKUP(G748, 'Padronização'!A:C, 3, FALSE), "")</f>
        <v>Não aborda cenário de crise ou desastre</v>
      </c>
      <c r="G748" s="23" t="s">
        <v>31</v>
      </c>
      <c r="H748" s="33"/>
    </row>
    <row r="749" ht="22.5" hidden="1" customHeight="1">
      <c r="A749" s="4" t="s">
        <v>30</v>
      </c>
      <c r="B749" s="4">
        <v>2021.0</v>
      </c>
      <c r="C749" s="4" t="s">
        <v>87</v>
      </c>
      <c r="D749" s="4" t="s">
        <v>980</v>
      </c>
      <c r="E749" s="4" t="str">
        <f>IFERROR(VLOOKUP(G749, 'Padronização'!A:C, 2, FALSE), "")</f>
        <v>⚠️</v>
      </c>
      <c r="F749" s="23" t="str">
        <f>IFERROR(VLOOKUP(G749, 'Padronização'!A:C, 3, FALSE), "")</f>
        <v>Emergência com evacuação específica</v>
      </c>
      <c r="G749" s="23" t="s">
        <v>57</v>
      </c>
      <c r="H749" s="33"/>
    </row>
    <row r="750" ht="22.5" hidden="1" customHeight="1">
      <c r="A750" s="4" t="s">
        <v>30</v>
      </c>
      <c r="B750" s="4">
        <v>2021.0</v>
      </c>
      <c r="C750" s="4" t="s">
        <v>87</v>
      </c>
      <c r="D750" s="4" t="s">
        <v>981</v>
      </c>
      <c r="E750" s="4" t="str">
        <f>IFERROR(VLOOKUP(G750, 'Padronização'!A:C, 2, FALSE), "")</f>
        <v>❌</v>
      </c>
      <c r="F750" s="23" t="str">
        <f>IFERROR(VLOOKUP(G750, 'Padronização'!A:C, 3, FALSE), "")</f>
        <v>Energia, grid, V2G; crise tratada como operação técnica</v>
      </c>
      <c r="G750" s="23" t="s">
        <v>12</v>
      </c>
      <c r="H750" s="33"/>
    </row>
    <row r="751" ht="22.5" hidden="1" customHeight="1">
      <c r="A751" s="4" t="s">
        <v>30</v>
      </c>
      <c r="B751" s="4">
        <v>2021.0</v>
      </c>
      <c r="C751" s="4" t="s">
        <v>87</v>
      </c>
      <c r="D751" s="4" t="s">
        <v>982</v>
      </c>
      <c r="E751" s="4" t="str">
        <f>IFERROR(VLOOKUP(G751, 'Padronização'!A:C, 2, FALSE), "")</f>
        <v>⚠️</v>
      </c>
      <c r="F751" s="23" t="str">
        <f>IFERROR(VLOOKUP(G751, 'Padronização'!A:C, 3, FALSE), "")</f>
        <v>Emergência sem evacuação clara</v>
      </c>
      <c r="G751" s="23" t="s">
        <v>43</v>
      </c>
      <c r="H751" s="33"/>
    </row>
    <row r="752" ht="22.5" hidden="1" customHeight="1">
      <c r="A752" s="4" t="s">
        <v>30</v>
      </c>
      <c r="B752" s="4">
        <v>2021.0</v>
      </c>
      <c r="C752" s="4" t="s">
        <v>87</v>
      </c>
      <c r="D752" s="4" t="s">
        <v>983</v>
      </c>
      <c r="E752" s="4" t="str">
        <f>IFERROR(VLOOKUP(G752, 'Padronização'!A:C, 2, FALSE), "")</f>
        <v>❌</v>
      </c>
      <c r="F752" s="23" t="str">
        <f>IFERROR(VLOOKUP(G752, 'Padronização'!A:C, 3, FALSE), "")</f>
        <v>Não aborda cenário de crise ou desastre</v>
      </c>
      <c r="G752" s="23" t="s">
        <v>31</v>
      </c>
      <c r="H752" s="33"/>
    </row>
    <row r="753" ht="22.5" hidden="1" customHeight="1">
      <c r="A753" s="4" t="s">
        <v>30</v>
      </c>
      <c r="B753" s="4">
        <v>2021.0</v>
      </c>
      <c r="C753" s="4" t="s">
        <v>87</v>
      </c>
      <c r="D753" s="4" t="s">
        <v>984</v>
      </c>
      <c r="E753" s="4" t="str">
        <f>IFERROR(VLOOKUP(G753, 'Padronização'!A:C, 2, FALSE), "")</f>
        <v>⚠️</v>
      </c>
      <c r="F753" s="23" t="str">
        <f>IFERROR(VLOOKUP(G753, 'Padronização'!A:C, 3, FALSE), "")</f>
        <v>Emergência com evacuação específica</v>
      </c>
      <c r="G753" s="23" t="s">
        <v>57</v>
      </c>
      <c r="H753" s="33"/>
    </row>
    <row r="754" ht="22.5" hidden="1" customHeight="1">
      <c r="A754" s="4" t="s">
        <v>30</v>
      </c>
      <c r="B754" s="4">
        <v>2021.0</v>
      </c>
      <c r="C754" s="4" t="s">
        <v>33</v>
      </c>
      <c r="D754" s="4" t="s">
        <v>985</v>
      </c>
      <c r="E754" s="4" t="str">
        <f>IFERROR(VLOOKUP(G754, 'Padronização'!A:C, 2, FALSE), "")</f>
        <v>❌</v>
      </c>
      <c r="F754" s="23" t="str">
        <f>IFERROR(VLOOKUP(G754, 'Padronização'!A:C, 3, FALSE), "")</f>
        <v>Não aborda cenário de crise ou desastre</v>
      </c>
      <c r="G754" s="23" t="s">
        <v>31</v>
      </c>
      <c r="H754" s="33"/>
    </row>
    <row r="755" ht="22.5" hidden="1" customHeight="1">
      <c r="A755" s="4" t="s">
        <v>30</v>
      </c>
      <c r="B755" s="4">
        <v>2021.0</v>
      </c>
      <c r="C755" s="4" t="s">
        <v>87</v>
      </c>
      <c r="D755" s="4" t="s">
        <v>986</v>
      </c>
      <c r="E755" s="4" t="str">
        <f>IFERROR(VLOOKUP(G755, 'Padronização'!A:C, 2, FALSE), "")</f>
        <v>⚠️</v>
      </c>
      <c r="F755" s="23" t="str">
        <f>IFERROR(VLOOKUP(G755, 'Padronização'!A:C, 3, FALSE), "")</f>
        <v>Emergência com evacuação específica</v>
      </c>
      <c r="G755" s="3" t="s">
        <v>57</v>
      </c>
      <c r="H755" s="33"/>
    </row>
    <row r="756" ht="22.5" customHeight="1">
      <c r="A756" s="4" t="s">
        <v>30</v>
      </c>
      <c r="B756" s="4">
        <v>2021.0</v>
      </c>
      <c r="C756" s="4" t="s">
        <v>33</v>
      </c>
      <c r="D756" s="4" t="s">
        <v>759</v>
      </c>
      <c r="E756" s="4" t="str">
        <f>IFERROR(VLOOKUP(G756, 'Padronização'!A:C, 2, FALSE), "")</f>
        <v>✅</v>
      </c>
      <c r="F756" s="23" t="str">
        <f>IFERROR(VLOOKUP(G756, 'Padronização'!A:C, 3, FALSE), "")</f>
        <v>Resposta humana a alertas e decisões</v>
      </c>
      <c r="G756" s="23" t="s">
        <v>50</v>
      </c>
      <c r="H756" s="33"/>
    </row>
    <row r="757" ht="22.5" customHeight="1">
      <c r="A757" s="4" t="s">
        <v>30</v>
      </c>
      <c r="B757" s="4">
        <v>2021.0</v>
      </c>
      <c r="C757" s="4" t="s">
        <v>33</v>
      </c>
      <c r="D757" s="4" t="s">
        <v>762</v>
      </c>
      <c r="E757" s="4" t="str">
        <f>IFERROR(VLOOKUP(G757, 'Padronização'!A:C, 2, FALSE), "")</f>
        <v>✅</v>
      </c>
      <c r="F757" s="23" t="str">
        <f>IFERROR(VLOOKUP(G757, 'Padronização'!A:C, 3, FALSE), "")</f>
        <v>Grupos vulneráveis em cenários de crise</v>
      </c>
      <c r="G757" s="3" t="s">
        <v>54</v>
      </c>
      <c r="H757" s="33"/>
    </row>
    <row r="758" ht="22.5" hidden="1" customHeight="1">
      <c r="A758" s="4" t="s">
        <v>30</v>
      </c>
      <c r="B758" s="4">
        <v>2021.0</v>
      </c>
      <c r="C758" s="4" t="s">
        <v>33</v>
      </c>
      <c r="D758" s="4" t="s">
        <v>987</v>
      </c>
      <c r="E758" s="4" t="str">
        <f>IFERROR(VLOOKUP(G758, 'Padronização'!A:C, 2, FALSE), "")</f>
        <v>❌</v>
      </c>
      <c r="F758" s="23" t="str">
        <f>IFERROR(VLOOKUP(G758, 'Padronização'!A:C, 3, FALSE), "")</f>
        <v>Artigo metodológico genérico (framework, design, how-to)</v>
      </c>
      <c r="G758" s="23" t="s">
        <v>27</v>
      </c>
      <c r="H758" s="33"/>
    </row>
    <row r="759" ht="22.5" hidden="1" customHeight="1">
      <c r="A759" s="4" t="s">
        <v>30</v>
      </c>
      <c r="B759" s="4">
        <v>2021.0</v>
      </c>
      <c r="C759" s="4" t="s">
        <v>87</v>
      </c>
      <c r="D759" s="4" t="s">
        <v>988</v>
      </c>
      <c r="E759" s="4" t="str">
        <f>IFERROR(VLOOKUP(G759, 'Padronização'!A:C, 2, FALSE), "")</f>
        <v>⚠️</v>
      </c>
      <c r="F759" s="23" t="str">
        <f>IFERROR(VLOOKUP(G759, 'Padronização'!A:C, 3, FALSE), "")</f>
        <v>Emergência com evacuação específica</v>
      </c>
      <c r="G759" s="3" t="s">
        <v>57</v>
      </c>
      <c r="H759" s="33"/>
    </row>
    <row r="760" ht="22.5" hidden="1" customHeight="1">
      <c r="A760" s="4" t="s">
        <v>30</v>
      </c>
      <c r="B760" s="4">
        <v>2021.0</v>
      </c>
      <c r="C760" s="4" t="s">
        <v>87</v>
      </c>
      <c r="D760" s="4" t="s">
        <v>989</v>
      </c>
      <c r="E760" s="4" t="str">
        <f>IFERROR(VLOOKUP(G760, 'Padronização'!A:C, 2, FALSE), "")</f>
        <v>❌</v>
      </c>
      <c r="F760" s="23" t="str">
        <f>IFERROR(VLOOKUP(G760, 'Padronização'!A:C, 3, FALSE), "")</f>
        <v>Artigo metodológico genérico (framework, design, how-to)</v>
      </c>
      <c r="G760" s="3" t="s">
        <v>27</v>
      </c>
      <c r="H760" s="33"/>
    </row>
    <row r="761" ht="22.5" hidden="1" customHeight="1">
      <c r="A761" s="4" t="s">
        <v>30</v>
      </c>
      <c r="B761" s="4">
        <v>2021.0</v>
      </c>
      <c r="C761" s="4" t="s">
        <v>87</v>
      </c>
      <c r="D761" s="4" t="s">
        <v>990</v>
      </c>
      <c r="E761" s="4" t="str">
        <f>IFERROR(VLOOKUP(G761, 'Padronização'!A:C, 2, FALSE), "")</f>
        <v>❌</v>
      </c>
      <c r="F761" s="23" t="str">
        <f>IFERROR(VLOOKUP(G761, 'Padronização'!A:C, 3, FALSE), "")</f>
        <v>Não aborda cenário de crise ou desastre</v>
      </c>
      <c r="G761" s="23" t="s">
        <v>31</v>
      </c>
      <c r="H761" s="33"/>
    </row>
    <row r="762" ht="22.5" hidden="1" customHeight="1">
      <c r="A762" s="4" t="s">
        <v>30</v>
      </c>
      <c r="B762" s="4">
        <v>2021.0</v>
      </c>
      <c r="C762" s="4" t="s">
        <v>87</v>
      </c>
      <c r="D762" s="4" t="s">
        <v>991</v>
      </c>
      <c r="E762" s="4" t="str">
        <f>IFERROR(VLOOKUP(G762, 'Padronização'!A:C, 2, FALSE), "")</f>
        <v>❌</v>
      </c>
      <c r="F762" s="23" t="str">
        <f>IFERROR(VLOOKUP(G762, 'Padronização'!A:C, 3, FALSE), "")</f>
        <v>Não aborda cenário de crise ou desastre</v>
      </c>
      <c r="G762" s="23" t="s">
        <v>31</v>
      </c>
      <c r="H762" s="33"/>
    </row>
    <row r="763" ht="22.5" hidden="1" customHeight="1">
      <c r="A763" s="4" t="s">
        <v>30</v>
      </c>
      <c r="B763" s="4">
        <v>2021.0</v>
      </c>
      <c r="C763" s="4" t="s">
        <v>87</v>
      </c>
      <c r="D763" s="4" t="s">
        <v>992</v>
      </c>
      <c r="E763" s="4" t="str">
        <f>IFERROR(VLOOKUP(G763, 'Padronização'!A:C, 2, FALSE), "")</f>
        <v>❌</v>
      </c>
      <c r="F763" s="23" t="str">
        <f>IFERROR(VLOOKUP(G763, 'Padronização'!A:C, 3, FALSE), "")</f>
        <v>Artigo metodológico genérico (framework, design, how-to)</v>
      </c>
      <c r="G763" s="23" t="s">
        <v>27</v>
      </c>
      <c r="H763" s="33"/>
    </row>
    <row r="764" ht="22.5" hidden="1" customHeight="1">
      <c r="A764" s="4" t="s">
        <v>30</v>
      </c>
      <c r="B764" s="4">
        <v>2021.0</v>
      </c>
      <c r="C764" s="4" t="s">
        <v>87</v>
      </c>
      <c r="D764" s="4" t="s">
        <v>993</v>
      </c>
      <c r="E764" s="4" t="str">
        <f>IFERROR(VLOOKUP(G764, 'Padronização'!A:C, 2, FALSE), "")</f>
        <v>❌</v>
      </c>
      <c r="F764" s="23" t="str">
        <f>IFERROR(VLOOKUP(G764, 'Padronização'!A:C, 3, FALSE), "")</f>
        <v>Transporte / tráfego em operação normal</v>
      </c>
      <c r="G764" s="3" t="s">
        <v>19</v>
      </c>
      <c r="H764" s="33"/>
    </row>
    <row r="765" ht="22.5" hidden="1" customHeight="1">
      <c r="A765" s="4" t="s">
        <v>30</v>
      </c>
      <c r="B765" s="4">
        <v>2021.0</v>
      </c>
      <c r="C765" s="4" t="s">
        <v>87</v>
      </c>
      <c r="D765" s="4" t="s">
        <v>994</v>
      </c>
      <c r="E765" s="4" t="str">
        <f>IFERROR(VLOOKUP(G765, 'Padronização'!A:C, 2, FALSE), "")</f>
        <v>⚠️</v>
      </c>
      <c r="F765" s="23" t="str">
        <f>IFERROR(VLOOKUP(G765, 'Padronização'!A:C, 3, FALSE), "")</f>
        <v>Crise explícita com foco em infraestrutura</v>
      </c>
      <c r="G765" s="23" t="s">
        <v>40</v>
      </c>
      <c r="H765" s="33"/>
    </row>
    <row r="766" ht="22.5" hidden="1" customHeight="1">
      <c r="A766" s="4" t="s">
        <v>30</v>
      </c>
      <c r="B766" s="4">
        <v>2021.0</v>
      </c>
      <c r="C766" s="4" t="s">
        <v>87</v>
      </c>
      <c r="D766" s="4" t="s">
        <v>995</v>
      </c>
      <c r="E766" s="4" t="str">
        <f>IFERROR(VLOOKUP(G766, 'Padronização'!A:C, 2, FALSE), "")</f>
        <v>⚠️</v>
      </c>
      <c r="F766" s="23" t="str">
        <f>IFERROR(VLOOKUP(G766, 'Padronização'!A:C, 3, FALSE), "")</f>
        <v>Crise explícita com foco em infraestrutura</v>
      </c>
      <c r="G766" s="23" t="s">
        <v>40</v>
      </c>
      <c r="H766" s="33"/>
    </row>
    <row r="767" ht="22.5" hidden="1" customHeight="1">
      <c r="A767" s="4" t="s">
        <v>30</v>
      </c>
      <c r="B767" s="4">
        <v>2021.0</v>
      </c>
      <c r="C767" s="4" t="s">
        <v>87</v>
      </c>
      <c r="D767" s="4" t="s">
        <v>996</v>
      </c>
      <c r="E767" s="4" t="str">
        <f>IFERROR(VLOOKUP(G767, 'Padronização'!A:C, 2, FALSE), "")</f>
        <v>❌</v>
      </c>
      <c r="F767" s="23" t="str">
        <f>IFERROR(VLOOKUP(G767, 'Padronização'!A:C, 3, FALSE), "")</f>
        <v>Telecomunicações emergenciais / alocação de rede; foco técnico</v>
      </c>
      <c r="G767" s="23" t="s">
        <v>5</v>
      </c>
      <c r="H767" s="33"/>
    </row>
    <row r="768" ht="22.5" hidden="1" customHeight="1">
      <c r="A768" s="4" t="s">
        <v>30</v>
      </c>
      <c r="B768" s="4">
        <v>2021.0</v>
      </c>
      <c r="C768" s="4" t="s">
        <v>87</v>
      </c>
      <c r="D768" s="4" t="s">
        <v>997</v>
      </c>
      <c r="E768" s="4" t="str">
        <f>IFERROR(VLOOKUP(G768, 'Padronização'!A:C, 2, FALSE), "")</f>
        <v>❌</v>
      </c>
      <c r="F768" s="23" t="str">
        <f>IFERROR(VLOOKUP(G768, 'Padronização'!A:C, 3, FALSE), "")</f>
        <v>Artigo metodológico genérico (framework, design, how-to)</v>
      </c>
      <c r="G768" s="3" t="s">
        <v>27</v>
      </c>
      <c r="H768" s="33"/>
    </row>
    <row r="769" ht="22.5" customHeight="1">
      <c r="A769" s="4" t="s">
        <v>30</v>
      </c>
      <c r="B769" s="4">
        <v>2021.0</v>
      </c>
      <c r="C769" s="4" t="s">
        <v>33</v>
      </c>
      <c r="D769" s="4" t="s">
        <v>998</v>
      </c>
      <c r="E769" s="4" t="str">
        <f>IFERROR(VLOOKUP(G769, 'Padronização'!A:C, 2, FALSE), "")</f>
        <v>✅</v>
      </c>
      <c r="F769" s="23" t="str">
        <f>IFERROR(VLOOKUP(G769, 'Padronização'!A:C, 3, FALSE), "")</f>
        <v>ABM/MAS focado em comportamento humano cognitivo</v>
      </c>
      <c r="G769" s="23" t="s">
        <v>47</v>
      </c>
      <c r="H769" s="33"/>
    </row>
    <row r="770" ht="22.5" hidden="1" customHeight="1">
      <c r="A770" s="4" t="s">
        <v>30</v>
      </c>
      <c r="B770" s="4">
        <v>2021.0</v>
      </c>
      <c r="C770" s="4" t="s">
        <v>87</v>
      </c>
      <c r="D770" s="4" t="s">
        <v>999</v>
      </c>
      <c r="E770" s="4" t="str">
        <f>IFERROR(VLOOKUP(G770, 'Padronização'!A:C, 2, FALSE), "")</f>
        <v>❌</v>
      </c>
      <c r="F770" s="23" t="str">
        <f>IFERROR(VLOOKUP(G770, 'Padronização'!A:C, 3, FALSE), "")</f>
        <v>Artigo metodológico genérico (framework, design, how-to)</v>
      </c>
      <c r="G770" s="23" t="s">
        <v>27</v>
      </c>
      <c r="H770" s="33"/>
    </row>
    <row r="771" ht="22.5" hidden="1" customHeight="1">
      <c r="A771" s="4" t="s">
        <v>30</v>
      </c>
      <c r="B771" s="4">
        <v>2021.0</v>
      </c>
      <c r="C771" s="4" t="s">
        <v>390</v>
      </c>
      <c r="D771" s="4" t="s">
        <v>1000</v>
      </c>
      <c r="E771" s="4" t="str">
        <f>IFERROR(VLOOKUP(G771, 'Padronização'!A:C, 2, FALSE), "")</f>
        <v>⚠️</v>
      </c>
      <c r="F771" s="23" t="str">
        <f>IFERROR(VLOOKUP(G771, 'Padronização'!A:C, 3, FALSE), "")</f>
        <v>Emergência sem evacuação clara</v>
      </c>
      <c r="G771" s="23" t="s">
        <v>43</v>
      </c>
      <c r="H771" s="33"/>
    </row>
    <row r="772" ht="22.5" hidden="1" customHeight="1">
      <c r="A772" s="4" t="s">
        <v>30</v>
      </c>
      <c r="B772" s="4">
        <v>2021.0</v>
      </c>
      <c r="C772" s="4" t="s">
        <v>33</v>
      </c>
      <c r="D772" s="4" t="s">
        <v>1001</v>
      </c>
      <c r="E772" s="4" t="str">
        <f>IFERROR(VLOOKUP(G772, 'Padronização'!A:C, 2, FALSE), "")</f>
        <v>⚠️</v>
      </c>
      <c r="F772" s="23" t="str">
        <f>IFERROR(VLOOKUP(G772, 'Padronização'!A:C, 3, FALSE), "")</f>
        <v>Emergência sem evacuação clara</v>
      </c>
      <c r="G772" s="23" t="s">
        <v>43</v>
      </c>
      <c r="H772" s="33"/>
    </row>
    <row r="773" ht="22.5" hidden="1" customHeight="1">
      <c r="A773" s="4" t="s">
        <v>30</v>
      </c>
      <c r="B773" s="4">
        <v>2021.0</v>
      </c>
      <c r="C773" s="4" t="s">
        <v>87</v>
      </c>
      <c r="D773" s="4" t="s">
        <v>1002</v>
      </c>
      <c r="E773" s="4" t="str">
        <f>IFERROR(VLOOKUP(G773, 'Padronização'!A:C, 2, FALSE), "")</f>
        <v>❌</v>
      </c>
      <c r="F773" s="23" t="str">
        <f>IFERROR(VLOOKUP(G773, 'Padronização'!A:C, 3, FALSE), "")</f>
        <v>Supply chain / impacto econômico indireto</v>
      </c>
      <c r="G773" s="23" t="s">
        <v>34</v>
      </c>
      <c r="H773" s="33"/>
    </row>
    <row r="774" ht="22.5" customHeight="1">
      <c r="A774" s="4" t="s">
        <v>30</v>
      </c>
      <c r="B774" s="4">
        <v>2021.0</v>
      </c>
      <c r="C774" s="4" t="s">
        <v>33</v>
      </c>
      <c r="D774" s="4" t="s">
        <v>1003</v>
      </c>
      <c r="E774" s="4" t="str">
        <f>IFERROR(VLOOKUP(G774, 'Padronização'!A:C, 2, FALSE), "")</f>
        <v>✅</v>
      </c>
      <c r="F774" s="23" t="str">
        <f>IFERROR(VLOOKUP(G774, 'Padronização'!A:C, 3, FALSE), "")</f>
        <v>Resposta humana a alertas e decisões</v>
      </c>
      <c r="G774" s="23" t="s">
        <v>50</v>
      </c>
      <c r="H774" s="33"/>
    </row>
    <row r="775" ht="22.5" hidden="1" customHeight="1">
      <c r="A775" s="4" t="s">
        <v>30</v>
      </c>
      <c r="B775" s="4">
        <v>2021.0</v>
      </c>
      <c r="C775" s="4" t="s">
        <v>33</v>
      </c>
      <c r="D775" s="4" t="s">
        <v>1004</v>
      </c>
      <c r="E775" s="4" t="str">
        <f>IFERROR(VLOOKUP(G775, 'Padronização'!A:C, 2, FALSE), "")</f>
        <v>❌</v>
      </c>
      <c r="F775" s="23" t="str">
        <f>IFERROR(VLOOKUP(G775, 'Padronização'!A:C, 3, FALSE), "")</f>
        <v>Não aborda cenário de crise ou desastre</v>
      </c>
      <c r="G775" s="23" t="s">
        <v>31</v>
      </c>
      <c r="H775" s="33"/>
    </row>
    <row r="776" ht="22.5" hidden="1" customHeight="1">
      <c r="A776" s="4" t="s">
        <v>30</v>
      </c>
      <c r="B776" s="4">
        <v>2021.0</v>
      </c>
      <c r="C776" s="4" t="s">
        <v>87</v>
      </c>
      <c r="D776" s="4" t="s">
        <v>1005</v>
      </c>
      <c r="E776" s="4" t="str">
        <f>IFERROR(VLOOKUP(G776, 'Padronização'!A:C, 2, FALSE), "")</f>
        <v>❌</v>
      </c>
      <c r="F776" s="23" t="str">
        <f>IFERROR(VLOOKUP(G776, 'Padronização'!A:C, 3, FALSE), "")</f>
        <v>Transporte / tráfego em operação normal</v>
      </c>
      <c r="G776" s="3" t="s">
        <v>19</v>
      </c>
      <c r="H776" s="33"/>
    </row>
    <row r="777" ht="22.5" hidden="1" customHeight="1">
      <c r="A777" s="4" t="s">
        <v>30</v>
      </c>
      <c r="B777" s="4">
        <v>2021.0</v>
      </c>
      <c r="C777" s="4" t="s">
        <v>33</v>
      </c>
      <c r="D777" s="4" t="s">
        <v>1006</v>
      </c>
      <c r="E777" s="4" t="str">
        <f>IFERROR(VLOOKUP(G777, 'Padronização'!A:C, 2, FALSE), "")</f>
        <v>❌</v>
      </c>
      <c r="F777" s="23" t="str">
        <f>IFERROR(VLOOKUP(G777, 'Padronização'!A:C, 3, FALSE), "")</f>
        <v>Transporte / tráfego em operação normal</v>
      </c>
      <c r="G777" s="23" t="s">
        <v>19</v>
      </c>
      <c r="H777" s="33"/>
    </row>
    <row r="778" ht="22.5" hidden="1" customHeight="1">
      <c r="A778" s="4" t="s">
        <v>30</v>
      </c>
      <c r="B778" s="4">
        <v>2021.0</v>
      </c>
      <c r="C778" s="4" t="s">
        <v>87</v>
      </c>
      <c r="D778" s="4" t="s">
        <v>1007</v>
      </c>
      <c r="E778" s="4" t="str">
        <f>IFERROR(VLOOKUP(G778, 'Padronização'!A:C, 2, FALSE), "")</f>
        <v>⚠️</v>
      </c>
      <c r="F778" s="23" t="str">
        <f>IFERROR(VLOOKUP(G778, 'Padronização'!A:C, 3, FALSE), "")</f>
        <v>Emergência sem evacuação clara</v>
      </c>
      <c r="G778" s="23" t="s">
        <v>43</v>
      </c>
      <c r="H778" s="33"/>
    </row>
    <row r="779" ht="22.5" hidden="1" customHeight="1">
      <c r="A779" s="4" t="s">
        <v>30</v>
      </c>
      <c r="B779" s="4">
        <v>2021.0</v>
      </c>
      <c r="C779" s="4" t="s">
        <v>87</v>
      </c>
      <c r="D779" s="4" t="s">
        <v>1008</v>
      </c>
      <c r="E779" s="4" t="str">
        <f>IFERROR(VLOOKUP(G779, 'Padronização'!A:C, 2, FALSE), "")</f>
        <v>❌</v>
      </c>
      <c r="F779" s="23" t="str">
        <f>IFERROR(VLOOKUP(G779, 'Padronização'!A:C, 3, FALSE), "")</f>
        <v>Emergência em saúde com foco operacional / Operação hospitalar</v>
      </c>
      <c r="G779" s="3" t="s">
        <v>38</v>
      </c>
      <c r="H779" s="33"/>
    </row>
    <row r="780" ht="22.5" hidden="1" customHeight="1">
      <c r="A780" s="4" t="s">
        <v>30</v>
      </c>
      <c r="B780" s="4">
        <v>2021.0</v>
      </c>
      <c r="C780" s="4" t="s">
        <v>87</v>
      </c>
      <c r="D780" s="4" t="s">
        <v>1009</v>
      </c>
      <c r="E780" s="4" t="str">
        <f>IFERROR(VLOOKUP(G780, 'Padronização'!A:C, 2, FALSE), "")</f>
        <v>❌</v>
      </c>
      <c r="F780" s="23" t="str">
        <f>IFERROR(VLOOKUP(G780, 'Padronização'!A:C, 3, FALSE), "")</f>
        <v>Artigo metodológico genérico (framework, design, how-to)</v>
      </c>
      <c r="G780" s="23" t="s">
        <v>27</v>
      </c>
      <c r="H780" s="33"/>
    </row>
    <row r="781" ht="22.5" hidden="1" customHeight="1">
      <c r="A781" s="4" t="s">
        <v>30</v>
      </c>
      <c r="B781" s="4">
        <v>2021.0</v>
      </c>
      <c r="C781" s="4" t="s">
        <v>33</v>
      </c>
      <c r="D781" s="4" t="s">
        <v>1010</v>
      </c>
      <c r="E781" s="4" t="str">
        <f>IFERROR(VLOOKUP(G781, 'Padronização'!A:C, 2, FALSE), "")</f>
        <v>⚠️</v>
      </c>
      <c r="F781" s="23" t="str">
        <f>IFERROR(VLOOKUP(G781, 'Padronização'!A:C, 3, FALSE), "")</f>
        <v>Crise explícita com foco em infraestrutura</v>
      </c>
      <c r="G781" s="3" t="s">
        <v>40</v>
      </c>
      <c r="H781" s="33"/>
    </row>
    <row r="782" ht="22.5" hidden="1" customHeight="1">
      <c r="A782" s="4" t="s">
        <v>30</v>
      </c>
      <c r="B782" s="4">
        <v>2021.0</v>
      </c>
      <c r="C782" s="4" t="s">
        <v>87</v>
      </c>
      <c r="D782" s="4" t="s">
        <v>1011</v>
      </c>
      <c r="E782" s="4" t="str">
        <f>IFERROR(VLOOKUP(G782, 'Padronização'!A:C, 2, FALSE), "")</f>
        <v>❌</v>
      </c>
      <c r="F782" s="23" t="str">
        <f>IFERROR(VLOOKUP(G782, 'Padronização'!A:C, 3, FALSE), "")</f>
        <v>Transporte / tráfego em operação normal</v>
      </c>
      <c r="G782" s="3" t="s">
        <v>19</v>
      </c>
      <c r="H782" s="33"/>
    </row>
    <row r="783" ht="22.5" hidden="1" customHeight="1">
      <c r="A783" s="4" t="s">
        <v>30</v>
      </c>
      <c r="B783" s="4">
        <v>2021.0</v>
      </c>
      <c r="C783" s="4" t="s">
        <v>33</v>
      </c>
      <c r="D783" s="4" t="s">
        <v>1012</v>
      </c>
      <c r="E783" s="4" t="str">
        <f>IFERROR(VLOOKUP(G783, 'Padronização'!A:C, 2, FALSE), "")</f>
        <v>❌</v>
      </c>
      <c r="F783" s="23" t="str">
        <f>IFERROR(VLOOKUP(G783, 'Padronização'!A:C, 3, FALSE), "")</f>
        <v>Supply chain / impacto econômico indireto</v>
      </c>
      <c r="G783" s="23" t="s">
        <v>34</v>
      </c>
      <c r="H783" s="33"/>
    </row>
    <row r="784" ht="22.5" hidden="1" customHeight="1">
      <c r="A784" s="4" t="s">
        <v>30</v>
      </c>
      <c r="B784" s="4">
        <v>2021.0</v>
      </c>
      <c r="C784" s="4" t="s">
        <v>390</v>
      </c>
      <c r="D784" s="4" t="s">
        <v>1013</v>
      </c>
      <c r="E784" s="4" t="str">
        <f>IFERROR(VLOOKUP(G784, 'Padronização'!A:C, 2, FALSE), "")</f>
        <v>❌</v>
      </c>
      <c r="F784" s="23" t="str">
        <f>IFERROR(VLOOKUP(G784, 'Padronização'!A:C, 3, FALSE), "")</f>
        <v>Emergência em saúde com foco operacional / Operação hospitalar</v>
      </c>
      <c r="G784" s="3" t="s">
        <v>38</v>
      </c>
      <c r="H784" s="33"/>
    </row>
    <row r="785" ht="22.5" hidden="1" customHeight="1">
      <c r="A785" s="4" t="s">
        <v>30</v>
      </c>
      <c r="B785" s="4">
        <v>2021.0</v>
      </c>
      <c r="C785" s="4" t="s">
        <v>87</v>
      </c>
      <c r="D785" s="4" t="s">
        <v>1014</v>
      </c>
      <c r="E785" s="4" t="str">
        <f>IFERROR(VLOOKUP(G785, 'Padronização'!A:C, 2, FALSE), "")</f>
        <v>❌</v>
      </c>
      <c r="F785" s="23" t="str">
        <f>IFERROR(VLOOKUP(G785, 'Padronização'!A:C, 3, FALSE), "")</f>
        <v>Transporte / tráfego em operação normal</v>
      </c>
      <c r="G785" s="3" t="s">
        <v>19</v>
      </c>
      <c r="H785" s="33"/>
    </row>
    <row r="786" ht="22.5" hidden="1" customHeight="1">
      <c r="A786" s="4" t="s">
        <v>30</v>
      </c>
      <c r="B786" s="4">
        <v>2021.0</v>
      </c>
      <c r="C786" s="4" t="s">
        <v>87</v>
      </c>
      <c r="D786" s="4" t="s">
        <v>1015</v>
      </c>
      <c r="E786" s="4" t="str">
        <f>IFERROR(VLOOKUP(G786, 'Padronização'!A:C, 2, FALSE), "")</f>
        <v>❌</v>
      </c>
      <c r="F786" s="23" t="str">
        <f>IFERROR(VLOOKUP(G786, 'Padronização'!A:C, 3, FALSE), "")</f>
        <v>Não aborda cenário de crise ou desastre</v>
      </c>
      <c r="G786" s="3" t="s">
        <v>31</v>
      </c>
      <c r="H786" s="33"/>
    </row>
    <row r="787" ht="22.5" hidden="1" customHeight="1">
      <c r="A787" s="4" t="s">
        <v>30</v>
      </c>
      <c r="B787" s="4">
        <v>2021.0</v>
      </c>
      <c r="C787" s="4" t="s">
        <v>87</v>
      </c>
      <c r="D787" s="4" t="s">
        <v>1016</v>
      </c>
      <c r="E787" s="4" t="str">
        <f>IFERROR(VLOOKUP(G787, 'Padronização'!A:C, 2, FALSE), "")</f>
        <v>⚠️</v>
      </c>
      <c r="F787" s="23" t="str">
        <f>IFERROR(VLOOKUP(G787, 'Padronização'!A:C, 3, FALSE), "")</f>
        <v>Emergência com evacuação específica</v>
      </c>
      <c r="G787" s="23" t="s">
        <v>57</v>
      </c>
      <c r="H787" s="33"/>
    </row>
    <row r="788" ht="22.5" hidden="1" customHeight="1">
      <c r="A788" s="4" t="s">
        <v>30</v>
      </c>
      <c r="B788" s="4">
        <v>2021.0</v>
      </c>
      <c r="C788" s="4" t="s">
        <v>87</v>
      </c>
      <c r="D788" s="4" t="s">
        <v>1017</v>
      </c>
      <c r="E788" s="4" t="str">
        <f>IFERROR(VLOOKUP(G788, 'Padronização'!A:C, 2, FALSE), "")</f>
        <v>❌</v>
      </c>
      <c r="F788" s="23" t="str">
        <f>IFERROR(VLOOKUP(G788, 'Padronização'!A:C, 3, FALSE), "")</f>
        <v>Energia, grid, V2G; crise tratada como operação técnica</v>
      </c>
      <c r="G788" s="3" t="s">
        <v>12</v>
      </c>
      <c r="H788" s="33"/>
    </row>
    <row r="789" ht="22.5" hidden="1" customHeight="1">
      <c r="A789" s="4" t="s">
        <v>30</v>
      </c>
      <c r="B789" s="4">
        <v>2021.0</v>
      </c>
      <c r="C789" s="4" t="s">
        <v>87</v>
      </c>
      <c r="D789" s="4" t="s">
        <v>1018</v>
      </c>
      <c r="E789" s="4" t="str">
        <f>IFERROR(VLOOKUP(G789, 'Padronização'!A:C, 2, FALSE), "")</f>
        <v>❌</v>
      </c>
      <c r="F789" s="23" t="str">
        <f>IFERROR(VLOOKUP(G789, 'Padronização'!A:C, 3, FALSE), "")</f>
        <v>Transporte / tráfego em operação normal</v>
      </c>
      <c r="G789" s="3" t="s">
        <v>19</v>
      </c>
      <c r="H789" s="33"/>
    </row>
    <row r="790" ht="22.5" hidden="1" customHeight="1">
      <c r="A790" s="4" t="s">
        <v>30</v>
      </c>
      <c r="B790" s="4">
        <v>2021.0</v>
      </c>
      <c r="C790" s="4" t="s">
        <v>87</v>
      </c>
      <c r="D790" s="4" t="s">
        <v>1019</v>
      </c>
      <c r="E790" s="4" t="str">
        <f>IFERROR(VLOOKUP(G790, 'Padronização'!A:C, 2, FALSE), "")</f>
        <v>❌</v>
      </c>
      <c r="F790" s="23" t="str">
        <f>IFERROR(VLOOKUP(G790, 'Padronização'!A:C, 3, FALSE), "")</f>
        <v>Transporte / tráfego em operação normal</v>
      </c>
      <c r="G790" s="23" t="s">
        <v>19</v>
      </c>
      <c r="H790" s="33"/>
    </row>
    <row r="791" ht="22.5" hidden="1" customHeight="1">
      <c r="A791" s="4" t="s">
        <v>30</v>
      </c>
      <c r="B791" s="4">
        <v>2021.0</v>
      </c>
      <c r="C791" s="4" t="s">
        <v>87</v>
      </c>
      <c r="D791" s="4" t="s">
        <v>1020</v>
      </c>
      <c r="E791" s="4" t="str">
        <f>IFERROR(VLOOKUP(G791, 'Padronização'!A:C, 2, FALSE), "")</f>
        <v>❌</v>
      </c>
      <c r="F791" s="23" t="str">
        <f>IFERROR(VLOOKUP(G791, 'Padronização'!A:C, 3, FALSE), "")</f>
        <v>Transporte / tráfego em operação normal</v>
      </c>
      <c r="G791" s="23" t="s">
        <v>19</v>
      </c>
      <c r="H791" s="33"/>
    </row>
    <row r="792" ht="22.5" hidden="1" customHeight="1">
      <c r="A792" s="4" t="s">
        <v>30</v>
      </c>
      <c r="B792" s="4">
        <v>2021.0</v>
      </c>
      <c r="C792" s="4" t="s">
        <v>33</v>
      </c>
      <c r="D792" s="4" t="s">
        <v>1021</v>
      </c>
      <c r="E792" s="4" t="str">
        <f>IFERROR(VLOOKUP(G792, 'Padronização'!A:C, 2, FALSE), "")</f>
        <v>❌</v>
      </c>
      <c r="F792" s="23" t="str">
        <f>IFERROR(VLOOKUP(G792, 'Padronização'!A:C, 3, FALSE), "")</f>
        <v>Transporte / tráfego em operação normal</v>
      </c>
      <c r="G792" s="3" t="s">
        <v>19</v>
      </c>
      <c r="H792" s="33"/>
    </row>
    <row r="793" ht="22.5" hidden="1" customHeight="1">
      <c r="A793" s="4" t="s">
        <v>30</v>
      </c>
      <c r="B793" s="4">
        <v>2020.0</v>
      </c>
      <c r="C793" s="4" t="s">
        <v>390</v>
      </c>
      <c r="D793" s="4" t="s">
        <v>1022</v>
      </c>
      <c r="E793" s="4" t="str">
        <f>IFERROR(VLOOKUP(G793, 'Padronização'!A:C, 2, FALSE), "")</f>
        <v>⚠️</v>
      </c>
      <c r="F793" s="23" t="str">
        <f>IFERROR(VLOOKUP(G793, 'Padronização'!A:C, 3, FALSE), "")</f>
        <v>Crise explícita com foco em infraestrutura</v>
      </c>
      <c r="G793" s="23" t="s">
        <v>40</v>
      </c>
      <c r="H793" s="33"/>
    </row>
    <row r="794" ht="22.5" hidden="1" customHeight="1">
      <c r="A794" s="4" t="s">
        <v>30</v>
      </c>
      <c r="B794" s="4">
        <v>2020.0</v>
      </c>
      <c r="C794" s="4" t="s">
        <v>87</v>
      </c>
      <c r="D794" s="4" t="s">
        <v>1023</v>
      </c>
      <c r="E794" s="4" t="str">
        <f>IFERROR(VLOOKUP(G794, 'Padronização'!A:C, 2, FALSE), "")</f>
        <v>⚠️</v>
      </c>
      <c r="F794" s="23" t="str">
        <f>IFERROR(VLOOKUP(G794, 'Padronização'!A:C, 3, FALSE), "")</f>
        <v>Emergência com evacuação específica</v>
      </c>
      <c r="G794" s="3" t="s">
        <v>57</v>
      </c>
      <c r="H794" s="33"/>
    </row>
    <row r="795" ht="22.5" hidden="1" customHeight="1">
      <c r="A795" s="4" t="s">
        <v>30</v>
      </c>
      <c r="B795" s="4">
        <v>2020.0</v>
      </c>
      <c r="C795" s="4" t="s">
        <v>87</v>
      </c>
      <c r="D795" s="4" t="s">
        <v>1024</v>
      </c>
      <c r="E795" s="4" t="str">
        <f>IFERROR(VLOOKUP(G795, 'Padronização'!A:C, 2, FALSE), "")</f>
        <v>❌</v>
      </c>
      <c r="F795" s="23" t="str">
        <f>IFERROR(VLOOKUP(G795, 'Padronização'!A:C, 3, FALSE), "")</f>
        <v>Não aborda cenário de crise ou desastre</v>
      </c>
      <c r="G795" s="3" t="s">
        <v>31</v>
      </c>
      <c r="H795" s="33"/>
    </row>
    <row r="796" ht="22.5" customHeight="1">
      <c r="A796" s="4" t="s">
        <v>30</v>
      </c>
      <c r="B796" s="4">
        <v>2020.0</v>
      </c>
      <c r="C796" s="4" t="s">
        <v>33</v>
      </c>
      <c r="D796" s="4" t="s">
        <v>775</v>
      </c>
      <c r="E796" s="4" t="str">
        <f>IFERROR(VLOOKUP(G796, 'Padronização'!A:C, 2, FALSE), "")</f>
        <v>✅</v>
      </c>
      <c r="F796" s="23" t="str">
        <f>IFERROR(VLOOKUP(G796, 'Padronização'!A:C, 3, FALSE), "")</f>
        <v>Resposta humana a alertas e decisões</v>
      </c>
      <c r="G796" s="3" t="s">
        <v>50</v>
      </c>
      <c r="H796" s="33"/>
    </row>
    <row r="797" ht="22.5" hidden="1" customHeight="1">
      <c r="A797" s="4" t="s">
        <v>30</v>
      </c>
      <c r="B797" s="4">
        <v>2020.0</v>
      </c>
      <c r="C797" s="4" t="s">
        <v>87</v>
      </c>
      <c r="D797" s="4" t="s">
        <v>1025</v>
      </c>
      <c r="E797" s="4" t="str">
        <f>IFERROR(VLOOKUP(G797, 'Padronização'!A:C, 2, FALSE), "")</f>
        <v>⚠️</v>
      </c>
      <c r="F797" s="23" t="str">
        <f>IFERROR(VLOOKUP(G797, 'Padronização'!A:C, 3, FALSE), "")</f>
        <v>Emergência sem evacuação clara</v>
      </c>
      <c r="G797" s="23" t="s">
        <v>43</v>
      </c>
      <c r="H797" s="33"/>
    </row>
    <row r="798" ht="22.5" hidden="1" customHeight="1">
      <c r="A798" s="4" t="s">
        <v>30</v>
      </c>
      <c r="B798" s="4">
        <v>2020.0</v>
      </c>
      <c r="C798" s="4" t="s">
        <v>390</v>
      </c>
      <c r="D798" s="4" t="s">
        <v>1026</v>
      </c>
      <c r="E798" s="4" t="str">
        <f>IFERROR(VLOOKUP(G798, 'Padronização'!A:C, 2, FALSE), "")</f>
        <v>❌</v>
      </c>
      <c r="F798" s="23" t="str">
        <f>IFERROR(VLOOKUP(G798, 'Padronização'!A:C, 3, FALSE), "")</f>
        <v>Artigo metodológico genérico (framework, design, how-to)</v>
      </c>
      <c r="G798" s="23" t="s">
        <v>27</v>
      </c>
      <c r="H798" s="33"/>
    </row>
    <row r="799" ht="22.5" hidden="1" customHeight="1">
      <c r="A799" s="4" t="s">
        <v>30</v>
      </c>
      <c r="B799" s="4">
        <v>2020.0</v>
      </c>
      <c r="C799" s="4" t="s">
        <v>33</v>
      </c>
      <c r="D799" s="4" t="s">
        <v>1027</v>
      </c>
      <c r="E799" s="4" t="str">
        <f>IFERROR(VLOOKUP(G799, 'Padronização'!A:C, 2, FALSE), "")</f>
        <v>❌</v>
      </c>
      <c r="F799" s="23" t="str">
        <f>IFERROR(VLOOKUP(G799, 'Padronização'!A:C, 3, FALSE), "")</f>
        <v>Não aborda cenário de crise ou desastre</v>
      </c>
      <c r="G799" s="23" t="s">
        <v>31</v>
      </c>
      <c r="H799" s="33"/>
    </row>
    <row r="800" ht="22.5" hidden="1" customHeight="1">
      <c r="A800" s="4" t="s">
        <v>30</v>
      </c>
      <c r="B800" s="4">
        <v>2020.0</v>
      </c>
      <c r="C800" s="4" t="s">
        <v>33</v>
      </c>
      <c r="D800" s="4" t="s">
        <v>1028</v>
      </c>
      <c r="E800" s="4" t="str">
        <f>IFERROR(VLOOKUP(G800, 'Padronização'!A:C, 2, FALSE), "")</f>
        <v>⚠️</v>
      </c>
      <c r="F800" s="23" t="str">
        <f>IFERROR(VLOOKUP(G800, 'Padronização'!A:C, 3, FALSE), "")</f>
        <v>Emergência sem evacuação clara</v>
      </c>
      <c r="G800" s="23" t="s">
        <v>43</v>
      </c>
      <c r="H800" s="33"/>
    </row>
    <row r="801" ht="22.5" hidden="1" customHeight="1">
      <c r="A801" s="4" t="s">
        <v>30</v>
      </c>
      <c r="B801" s="4">
        <v>2020.0</v>
      </c>
      <c r="C801" s="4" t="s">
        <v>33</v>
      </c>
      <c r="D801" s="4" t="s">
        <v>1029</v>
      </c>
      <c r="E801" s="4" t="str">
        <f>IFERROR(VLOOKUP(G801, 'Padronização'!A:C, 2, FALSE), "")</f>
        <v>⚠️</v>
      </c>
      <c r="F801" s="23" t="str">
        <f>IFERROR(VLOOKUP(G801, 'Padronização'!A:C, 3, FALSE), "")</f>
        <v>Emergência com evacuação específica</v>
      </c>
      <c r="G801" s="23" t="s">
        <v>57</v>
      </c>
      <c r="H801" s="33"/>
    </row>
    <row r="802" ht="22.5" hidden="1" customHeight="1">
      <c r="A802" s="4" t="s">
        <v>30</v>
      </c>
      <c r="B802" s="4">
        <v>2020.0</v>
      </c>
      <c r="C802" s="4" t="s">
        <v>87</v>
      </c>
      <c r="D802" s="4" t="s">
        <v>1030</v>
      </c>
      <c r="E802" s="4" t="str">
        <f>IFERROR(VLOOKUP(G802, 'Padronização'!A:C, 2, FALSE), "")</f>
        <v>❌</v>
      </c>
      <c r="F802" s="23" t="str">
        <f>IFERROR(VLOOKUP(G802, 'Padronização'!A:C, 3, FALSE), "")</f>
        <v>Algoritmo técnico / MAS sem humano / otimização </v>
      </c>
      <c r="G802" s="3" t="s">
        <v>15</v>
      </c>
      <c r="H802" s="33"/>
    </row>
    <row r="803" ht="22.5" customHeight="1">
      <c r="A803" s="4" t="s">
        <v>30</v>
      </c>
      <c r="B803" s="4">
        <v>2020.0</v>
      </c>
      <c r="C803" s="4" t="s">
        <v>87</v>
      </c>
      <c r="D803" s="4" t="s">
        <v>1031</v>
      </c>
      <c r="E803" s="4" t="str">
        <f>IFERROR(VLOOKUP(G803, 'Padronização'!A:C, 2, FALSE), "")</f>
        <v>✅</v>
      </c>
      <c r="F803" s="23" t="str">
        <f>IFERROR(VLOOKUP(G803, 'Padronização'!A:C, 3, FALSE), "")</f>
        <v>ABM/MAS focado em comportamento humano cognitivo</v>
      </c>
      <c r="G803" s="3" t="s">
        <v>47</v>
      </c>
      <c r="H803" s="33"/>
    </row>
    <row r="804" ht="22.5" hidden="1" customHeight="1">
      <c r="A804" s="4" t="s">
        <v>30</v>
      </c>
      <c r="B804" s="4">
        <v>2020.0</v>
      </c>
      <c r="C804" s="4" t="s">
        <v>87</v>
      </c>
      <c r="D804" s="4" t="s">
        <v>1032</v>
      </c>
      <c r="E804" s="4" t="str">
        <f>IFERROR(VLOOKUP(G804, 'Padronização'!A:C, 2, FALSE), "")</f>
        <v>❌</v>
      </c>
      <c r="F804" s="23" t="str">
        <f>IFERROR(VLOOKUP(G804, 'Padronização'!A:C, 3, FALSE), "")</f>
        <v>Não aborda cenário de crise ou desastre</v>
      </c>
      <c r="G804" s="3" t="s">
        <v>31</v>
      </c>
      <c r="H804" s="33"/>
    </row>
    <row r="805" ht="22.5" hidden="1" customHeight="1">
      <c r="A805" s="4" t="s">
        <v>30</v>
      </c>
      <c r="B805" s="4">
        <v>2020.0</v>
      </c>
      <c r="C805" s="4" t="s">
        <v>33</v>
      </c>
      <c r="D805" s="4" t="s">
        <v>1033</v>
      </c>
      <c r="E805" s="4" t="str">
        <f>IFERROR(VLOOKUP(G805, 'Padronização'!A:C, 2, FALSE), "")</f>
        <v>⚠️</v>
      </c>
      <c r="F805" s="23" t="str">
        <f>IFERROR(VLOOKUP(G805, 'Padronização'!A:C, 3, FALSE), "")</f>
        <v>Crise explícita com foco em infraestrutura</v>
      </c>
      <c r="G805" s="3" t="s">
        <v>40</v>
      </c>
      <c r="H805" s="33"/>
    </row>
    <row r="806" ht="22.5" hidden="1" customHeight="1">
      <c r="A806" s="4" t="s">
        <v>30</v>
      </c>
      <c r="B806" s="4">
        <v>2020.0</v>
      </c>
      <c r="C806" s="4" t="s">
        <v>33</v>
      </c>
      <c r="D806" s="4" t="s">
        <v>1034</v>
      </c>
      <c r="E806" s="4" t="str">
        <f>IFERROR(VLOOKUP(G806, 'Padronização'!A:C, 2, FALSE), "")</f>
        <v>❌</v>
      </c>
      <c r="F806" s="23" t="str">
        <f>IFERROR(VLOOKUP(G806, 'Padronização'!A:C, 3, FALSE), "")</f>
        <v>Transporte / tráfego em operação normal</v>
      </c>
      <c r="G806" s="3" t="s">
        <v>19</v>
      </c>
      <c r="H806" s="33"/>
    </row>
    <row r="807" ht="22.5" hidden="1" customHeight="1">
      <c r="A807" s="4" t="s">
        <v>30</v>
      </c>
      <c r="B807" s="4">
        <v>2020.0</v>
      </c>
      <c r="C807" s="4" t="s">
        <v>33</v>
      </c>
      <c r="D807" s="4" t="s">
        <v>1035</v>
      </c>
      <c r="E807" s="4" t="str">
        <f>IFERROR(VLOOKUP(G807, 'Padronização'!A:C, 2, FALSE), "")</f>
        <v>⚠️</v>
      </c>
      <c r="F807" s="23" t="str">
        <f>IFERROR(VLOOKUP(G807, 'Padronização'!A:C, 3, FALSE), "")</f>
        <v>Crise explícita com foco em infraestrutura</v>
      </c>
      <c r="G807" s="3" t="s">
        <v>40</v>
      </c>
      <c r="H807" s="33"/>
    </row>
    <row r="808" ht="22.5" hidden="1" customHeight="1">
      <c r="A808" s="4" t="s">
        <v>30</v>
      </c>
      <c r="B808" s="4">
        <v>2020.0</v>
      </c>
      <c r="C808" s="4" t="s">
        <v>87</v>
      </c>
      <c r="D808" s="4" t="s">
        <v>1036</v>
      </c>
      <c r="E808" s="4" t="str">
        <f>IFERROR(VLOOKUP(G808, 'Padronização'!A:C, 2, FALSE), "")</f>
        <v>❌</v>
      </c>
      <c r="F808" s="23" t="str">
        <f>IFERROR(VLOOKUP(G808, 'Padronização'!A:C, 3, FALSE), "")</f>
        <v>Artigo metodológico genérico (framework, design, how-to)</v>
      </c>
      <c r="G808" s="3" t="s">
        <v>27</v>
      </c>
      <c r="H808" s="33"/>
    </row>
    <row r="809" ht="22.5" customHeight="1">
      <c r="A809" s="4" t="s">
        <v>30</v>
      </c>
      <c r="B809" s="4">
        <v>2020.0</v>
      </c>
      <c r="C809" s="4" t="s">
        <v>33</v>
      </c>
      <c r="D809" s="4" t="s">
        <v>1037</v>
      </c>
      <c r="E809" s="4" t="str">
        <f>IFERROR(VLOOKUP(G809, 'Padronização'!A:C, 2, FALSE), "")</f>
        <v>✅</v>
      </c>
      <c r="F809" s="23" t="str">
        <f>IFERROR(VLOOKUP(G809, 'Padronização'!A:C, 3, FALSE), "")</f>
        <v>ABM/MAS aplicado à evacuação</v>
      </c>
      <c r="G809" s="23" t="s">
        <v>45</v>
      </c>
      <c r="H809" s="33"/>
    </row>
    <row r="810" ht="22.5" customHeight="1">
      <c r="A810" s="4" t="s">
        <v>30</v>
      </c>
      <c r="B810" s="4">
        <v>2020.0</v>
      </c>
      <c r="C810" s="4" t="s">
        <v>87</v>
      </c>
      <c r="D810" s="4" t="s">
        <v>784</v>
      </c>
      <c r="E810" s="4" t="str">
        <f>IFERROR(VLOOKUP(G810, 'Padronização'!A:C, 2, FALSE), "")</f>
        <v>✅</v>
      </c>
      <c r="F810" s="23" t="str">
        <f>IFERROR(VLOOKUP(G810, 'Padronização'!A:C, 3, FALSE), "")</f>
        <v>ABM/MAS aplicado à evacuação</v>
      </c>
      <c r="G810" s="23" t="s">
        <v>45</v>
      </c>
      <c r="H810" s="33"/>
    </row>
    <row r="811" ht="22.5" hidden="1" customHeight="1">
      <c r="A811" s="4" t="s">
        <v>30</v>
      </c>
      <c r="B811" s="4">
        <v>2020.0</v>
      </c>
      <c r="C811" s="4" t="s">
        <v>33</v>
      </c>
      <c r="D811" s="4" t="s">
        <v>1038</v>
      </c>
      <c r="E811" s="4" t="str">
        <f>IFERROR(VLOOKUP(G811, 'Padronização'!A:C, 2, FALSE), "")</f>
        <v>⚠️</v>
      </c>
      <c r="F811" s="23" t="str">
        <f>IFERROR(VLOOKUP(G811, 'Padronização'!A:C, 3, FALSE), "")</f>
        <v>Emergência com evacuação específica</v>
      </c>
      <c r="G811" s="3" t="s">
        <v>57</v>
      </c>
      <c r="H811" s="33"/>
    </row>
    <row r="812" ht="22.5" hidden="1" customHeight="1">
      <c r="A812" s="4" t="s">
        <v>30</v>
      </c>
      <c r="B812" s="4">
        <v>2020.0</v>
      </c>
      <c r="C812" s="4" t="s">
        <v>87</v>
      </c>
      <c r="D812" s="4" t="s">
        <v>1039</v>
      </c>
      <c r="E812" s="4" t="str">
        <f>IFERROR(VLOOKUP(G812, 'Padronização'!A:C, 2, FALSE), "")</f>
        <v>❌</v>
      </c>
      <c r="F812" s="23" t="str">
        <f>IFERROR(VLOOKUP(G812, 'Padronização'!A:C, 3, FALSE), "")</f>
        <v>Emergência em saúde com foco operacional / Operação hospitalar</v>
      </c>
      <c r="G812" s="3" t="s">
        <v>38</v>
      </c>
      <c r="H812" s="33"/>
    </row>
    <row r="813" ht="22.5" hidden="1" customHeight="1">
      <c r="A813" s="4" t="s">
        <v>30</v>
      </c>
      <c r="B813" s="4">
        <v>2020.0</v>
      </c>
      <c r="C813" s="4" t="s">
        <v>33</v>
      </c>
      <c r="D813" s="4" t="s">
        <v>1040</v>
      </c>
      <c r="E813" s="4" t="str">
        <f>IFERROR(VLOOKUP(G813, 'Padronização'!A:C, 2, FALSE), "")</f>
        <v>⚠️</v>
      </c>
      <c r="F813" s="23" t="str">
        <f>IFERROR(VLOOKUP(G813, 'Padronização'!A:C, 3, FALSE), "")</f>
        <v>Emergência com evacuação específica</v>
      </c>
      <c r="G813" s="3" t="s">
        <v>57</v>
      </c>
      <c r="H813" s="33"/>
    </row>
    <row r="814" ht="22.5" customHeight="1">
      <c r="A814" s="4" t="s">
        <v>30</v>
      </c>
      <c r="B814" s="4">
        <v>2020.0</v>
      </c>
      <c r="C814" s="4" t="s">
        <v>33</v>
      </c>
      <c r="D814" s="4" t="s">
        <v>176</v>
      </c>
      <c r="E814" s="4" t="str">
        <f>IFERROR(VLOOKUP(G814, 'Padronização'!A:C, 2, FALSE), "")</f>
        <v>✅</v>
      </c>
      <c r="F814" s="23" t="str">
        <f>IFERROR(VLOOKUP(G814, 'Padronização'!A:C, 3, FALSE), "")</f>
        <v>ABM/MAS aplicado à evacuação</v>
      </c>
      <c r="G814" s="3" t="s">
        <v>45</v>
      </c>
      <c r="H814" s="33"/>
    </row>
    <row r="815" ht="22.5" hidden="1" customHeight="1">
      <c r="A815" s="4" t="s">
        <v>30</v>
      </c>
      <c r="B815" s="4">
        <v>2020.0</v>
      </c>
      <c r="C815" s="4" t="s">
        <v>33</v>
      </c>
      <c r="D815" s="4" t="s">
        <v>1041</v>
      </c>
      <c r="E815" s="4" t="str">
        <f>IFERROR(VLOOKUP(G815, 'Padronização'!A:C, 2, FALSE), "")</f>
        <v>❌</v>
      </c>
      <c r="F815" s="23" t="str">
        <f>IFERROR(VLOOKUP(G815, 'Padronização'!A:C, 3, FALSE), "")</f>
        <v>Telecomunicações emergenciais / alocação de rede; foco técnico</v>
      </c>
      <c r="G815" s="3" t="s">
        <v>5</v>
      </c>
      <c r="H815" s="33"/>
    </row>
    <row r="816" ht="22.5" hidden="1" customHeight="1">
      <c r="A816" s="4" t="s">
        <v>30</v>
      </c>
      <c r="B816" s="4">
        <v>2020.0</v>
      </c>
      <c r="C816" s="4" t="s">
        <v>33</v>
      </c>
      <c r="D816" s="4" t="s">
        <v>1042</v>
      </c>
      <c r="E816" s="4" t="str">
        <f>IFERROR(VLOOKUP(G816, 'Padronização'!A:C, 2, FALSE), "")</f>
        <v>⚠️</v>
      </c>
      <c r="F816" s="23" t="str">
        <f>IFERROR(VLOOKUP(G816, 'Padronização'!A:C, 3, FALSE), "")</f>
        <v>Emergência sem evacuação clara</v>
      </c>
      <c r="G816" s="3" t="s">
        <v>43</v>
      </c>
      <c r="H816" s="33"/>
    </row>
    <row r="817" ht="22.5" hidden="1" customHeight="1">
      <c r="A817" s="4" t="s">
        <v>30</v>
      </c>
      <c r="B817" s="4">
        <v>2020.0</v>
      </c>
      <c r="C817" s="4" t="s">
        <v>87</v>
      </c>
      <c r="D817" s="4" t="s">
        <v>1043</v>
      </c>
      <c r="E817" s="4" t="str">
        <f>IFERROR(VLOOKUP(G817, 'Padronização'!A:C, 2, FALSE), "")</f>
        <v>❌</v>
      </c>
      <c r="F817" s="23" t="str">
        <f>IFERROR(VLOOKUP(G817, 'Padronização'!A:C, 3, FALSE), "")</f>
        <v>Emergência em saúde com foco operacional / Operação hospitalar</v>
      </c>
      <c r="G817" s="3" t="s">
        <v>38</v>
      </c>
      <c r="H817" s="33"/>
    </row>
    <row r="818" ht="22.5" hidden="1" customHeight="1">
      <c r="A818" s="4" t="s">
        <v>30</v>
      </c>
      <c r="B818" s="4">
        <v>2020.0</v>
      </c>
      <c r="C818" s="4" t="s">
        <v>87</v>
      </c>
      <c r="D818" s="4" t="s">
        <v>1044</v>
      </c>
      <c r="E818" s="4" t="str">
        <f>IFERROR(VLOOKUP(G818, 'Padronização'!A:C, 2, FALSE), "")</f>
        <v>⚠️</v>
      </c>
      <c r="F818" s="23" t="str">
        <f>IFERROR(VLOOKUP(G818, 'Padronização'!A:C, 3, FALSE), "")</f>
        <v>Crise explícita com foco em infraestrutura</v>
      </c>
      <c r="G818" s="3" t="s">
        <v>40</v>
      </c>
      <c r="H818" s="33"/>
    </row>
    <row r="819" ht="22.5" customHeight="1">
      <c r="A819" s="4" t="s">
        <v>30</v>
      </c>
      <c r="B819" s="4">
        <v>2020.0</v>
      </c>
      <c r="C819" s="4" t="s">
        <v>87</v>
      </c>
      <c r="D819" s="4" t="s">
        <v>1045</v>
      </c>
      <c r="E819" s="4" t="str">
        <f>IFERROR(VLOOKUP(G819, 'Padronização'!A:C, 2, FALSE), "")</f>
        <v>✅</v>
      </c>
      <c r="F819" s="23" t="str">
        <f>IFERROR(VLOOKUP(G819, 'Padronização'!A:C, 3, FALSE), "")</f>
        <v>ABM/MAS aplicado à evacuação</v>
      </c>
      <c r="G819" s="3" t="s">
        <v>45</v>
      </c>
      <c r="H819" s="33"/>
    </row>
    <row r="820" ht="22.5" hidden="1" customHeight="1">
      <c r="A820" s="4" t="s">
        <v>30</v>
      </c>
      <c r="B820" s="4">
        <v>2020.0</v>
      </c>
      <c r="C820" s="4" t="s">
        <v>87</v>
      </c>
      <c r="D820" s="4" t="s">
        <v>1046</v>
      </c>
      <c r="E820" s="4" t="str">
        <f>IFERROR(VLOOKUP(G820, 'Padronização'!A:C, 2, FALSE), "")</f>
        <v>❌</v>
      </c>
      <c r="F820" s="23" t="str">
        <f>IFERROR(VLOOKUP(G820, 'Padronização'!A:C, 3, FALSE), "")</f>
        <v>Artigo metodológico genérico (framework, design, how-to)</v>
      </c>
      <c r="G820" s="3" t="s">
        <v>27</v>
      </c>
      <c r="H820" s="33"/>
    </row>
    <row r="821" ht="22.5" hidden="1" customHeight="1">
      <c r="A821" s="4" t="s">
        <v>30</v>
      </c>
      <c r="B821" s="4">
        <v>2020.0</v>
      </c>
      <c r="C821" s="4" t="s">
        <v>33</v>
      </c>
      <c r="D821" s="4" t="s">
        <v>1047</v>
      </c>
      <c r="E821" s="4" t="str">
        <f>IFERROR(VLOOKUP(G821, 'Padronização'!A:C, 2, FALSE), "")</f>
        <v>⚠️</v>
      </c>
      <c r="F821" s="23" t="str">
        <f>IFERROR(VLOOKUP(G821, 'Padronização'!A:C, 3, FALSE), "")</f>
        <v>Emergência com evacuação específica</v>
      </c>
      <c r="G821" s="3" t="s">
        <v>57</v>
      </c>
      <c r="H821" s="33"/>
    </row>
    <row r="822" ht="22.5" customHeight="1">
      <c r="A822" s="4" t="s">
        <v>30</v>
      </c>
      <c r="B822" s="4">
        <v>2020.0</v>
      </c>
      <c r="C822" s="4" t="s">
        <v>33</v>
      </c>
      <c r="D822" s="4" t="s">
        <v>1048</v>
      </c>
      <c r="E822" s="4" t="str">
        <f>IFERROR(VLOOKUP(G822, 'Padronização'!A:C, 2, FALSE), "")</f>
        <v>✅</v>
      </c>
      <c r="F822" s="23" t="str">
        <f>IFERROR(VLOOKUP(G822, 'Padronização'!A:C, 3, FALSE), "")</f>
        <v>ABM/MAS aplicado à evacuação</v>
      </c>
      <c r="G822" s="3" t="s">
        <v>45</v>
      </c>
      <c r="H822" s="33"/>
    </row>
    <row r="823" ht="22.5" hidden="1" customHeight="1">
      <c r="A823" s="4" t="s">
        <v>30</v>
      </c>
      <c r="B823" s="4">
        <v>2020.0</v>
      </c>
      <c r="C823" s="4" t="s">
        <v>87</v>
      </c>
      <c r="D823" s="4" t="s">
        <v>1049</v>
      </c>
      <c r="E823" s="4" t="str">
        <f>IFERROR(VLOOKUP(G823, 'Padronização'!A:C, 2, FALSE), "")</f>
        <v>⚠️</v>
      </c>
      <c r="F823" s="23" t="str">
        <f>IFERROR(VLOOKUP(G823, 'Padronização'!A:C, 3, FALSE), "")</f>
        <v>Crise explícita com foco em infraestrutura</v>
      </c>
      <c r="G823" s="3" t="s">
        <v>40</v>
      </c>
      <c r="H823" s="33"/>
    </row>
    <row r="824" ht="22.5" hidden="1" customHeight="1">
      <c r="A824" s="4" t="s">
        <v>30</v>
      </c>
      <c r="B824" s="4">
        <v>2020.0</v>
      </c>
      <c r="C824" s="4" t="s">
        <v>33</v>
      </c>
      <c r="D824" s="4" t="s">
        <v>1050</v>
      </c>
      <c r="E824" s="4" t="str">
        <f>IFERROR(VLOOKUP(G824, 'Padronização'!A:C, 2, FALSE), "")</f>
        <v>❌</v>
      </c>
      <c r="F824" s="23" t="str">
        <f>IFERROR(VLOOKUP(G824, 'Padronização'!A:C, 3, FALSE), "")</f>
        <v>Emergência em saúde com foco operacional / Operação hospitalar</v>
      </c>
      <c r="G824" s="23" t="s">
        <v>38</v>
      </c>
      <c r="H824" s="33"/>
    </row>
    <row r="825" ht="22.5" hidden="1" customHeight="1">
      <c r="A825" s="4" t="s">
        <v>30</v>
      </c>
      <c r="B825" s="4">
        <v>2020.0</v>
      </c>
      <c r="C825" s="4" t="s">
        <v>33</v>
      </c>
      <c r="D825" s="4" t="s">
        <v>1051</v>
      </c>
      <c r="E825" s="4" t="str">
        <f>IFERROR(VLOOKUP(G825, 'Padronização'!A:C, 2, FALSE), "")</f>
        <v>❌</v>
      </c>
      <c r="F825" s="23" t="str">
        <f>IFERROR(VLOOKUP(G825, 'Padronização'!A:C, 3, FALSE), "")</f>
        <v>Emergência em saúde com foco operacional / Operação hospitalar</v>
      </c>
      <c r="G825" s="3" t="s">
        <v>38</v>
      </c>
      <c r="H825" s="33"/>
    </row>
    <row r="826" ht="22.5" hidden="1" customHeight="1">
      <c r="A826" s="4" t="s">
        <v>30</v>
      </c>
      <c r="B826" s="4">
        <v>2020.0</v>
      </c>
      <c r="C826" s="4" t="s">
        <v>33</v>
      </c>
      <c r="D826" s="4" t="s">
        <v>1052</v>
      </c>
      <c r="E826" s="4" t="str">
        <f>IFERROR(VLOOKUP(G826, 'Padronização'!A:C, 2, FALSE), "")</f>
        <v>❌</v>
      </c>
      <c r="F826" s="23" t="str">
        <f>IFERROR(VLOOKUP(G826, 'Padronização'!A:C, 3, FALSE), "")</f>
        <v>Artigo metodológico genérico (framework, design, how-to)</v>
      </c>
      <c r="G826" s="3" t="s">
        <v>27</v>
      </c>
      <c r="H826" s="33"/>
    </row>
    <row r="827" ht="22.5" hidden="1" customHeight="1">
      <c r="A827" s="4" t="s">
        <v>30</v>
      </c>
      <c r="B827" s="4">
        <v>2020.0</v>
      </c>
      <c r="C827" s="4" t="s">
        <v>33</v>
      </c>
      <c r="D827" s="4" t="s">
        <v>1053</v>
      </c>
      <c r="E827" s="4" t="str">
        <f>IFERROR(VLOOKUP(G827, 'Padronização'!A:C, 2, FALSE), "")</f>
        <v>❌</v>
      </c>
      <c r="F827" s="23" t="str">
        <f>IFERROR(VLOOKUP(G827, 'Padronização'!A:C, 3, FALSE), "")</f>
        <v>Emergência em saúde com foco operacional / Operação hospitalar</v>
      </c>
      <c r="G827" s="3" t="s">
        <v>38</v>
      </c>
      <c r="H827" s="33"/>
    </row>
    <row r="828" ht="22.5" hidden="1" customHeight="1">
      <c r="A828" s="4" t="s">
        <v>30</v>
      </c>
      <c r="B828" s="4">
        <v>2020.0</v>
      </c>
      <c r="C828" s="4" t="s">
        <v>33</v>
      </c>
      <c r="D828" s="4" t="s">
        <v>1054</v>
      </c>
      <c r="E828" s="4" t="str">
        <f>IFERROR(VLOOKUP(G828, 'Padronização'!A:C, 2, FALSE), "")</f>
        <v>⚠️</v>
      </c>
      <c r="F828" s="23" t="str">
        <f>IFERROR(VLOOKUP(G828, 'Padronização'!A:C, 3, FALSE), "")</f>
        <v>Crise explícita com foco em infraestrutura</v>
      </c>
      <c r="G828" s="3" t="s">
        <v>40</v>
      </c>
      <c r="H828" s="33"/>
    </row>
    <row r="829" ht="22.5" hidden="1" customHeight="1">
      <c r="A829" s="4" t="s">
        <v>30</v>
      </c>
      <c r="B829" s="4">
        <v>2020.0</v>
      </c>
      <c r="C829" s="4" t="s">
        <v>33</v>
      </c>
      <c r="D829" s="4" t="s">
        <v>1055</v>
      </c>
      <c r="E829" s="4" t="str">
        <f>IFERROR(VLOOKUP(G829, 'Padronização'!A:C, 2, FALSE), "")</f>
        <v>❌</v>
      </c>
      <c r="F829" s="23" t="str">
        <f>IFERROR(VLOOKUP(G829, 'Padronização'!A:C, 3, FALSE), "")</f>
        <v>Emergência em saúde com foco operacional / Operação hospitalar</v>
      </c>
      <c r="G829" s="3" t="s">
        <v>38</v>
      </c>
      <c r="H829" s="33"/>
    </row>
    <row r="830" ht="22.5" hidden="1" customHeight="1">
      <c r="A830" s="4" t="s">
        <v>30</v>
      </c>
      <c r="B830" s="4">
        <v>2020.0</v>
      </c>
      <c r="C830" s="4" t="s">
        <v>33</v>
      </c>
      <c r="D830" s="4" t="s">
        <v>1056</v>
      </c>
      <c r="E830" s="4" t="str">
        <f>IFERROR(VLOOKUP(G830, 'Padronização'!A:C, 2, FALSE), "")</f>
        <v>❌</v>
      </c>
      <c r="F830" s="23" t="str">
        <f>IFERROR(VLOOKUP(G830, 'Padronização'!A:C, 3, FALSE), "")</f>
        <v>Telecomunicações emergenciais / alocação de rede; foco técnico</v>
      </c>
      <c r="G830" s="3" t="s">
        <v>5</v>
      </c>
      <c r="H830" s="33"/>
    </row>
    <row r="831" ht="22.5" hidden="1" customHeight="1">
      <c r="A831" s="4" t="s">
        <v>30</v>
      </c>
      <c r="B831" s="4">
        <v>2020.0</v>
      </c>
      <c r="C831" s="4" t="s">
        <v>33</v>
      </c>
      <c r="D831" s="4" t="s">
        <v>1057</v>
      </c>
      <c r="E831" s="4" t="str">
        <f>IFERROR(VLOOKUP(G831, 'Padronização'!A:C, 2, FALSE), "")</f>
        <v>❌</v>
      </c>
      <c r="F831" s="23" t="str">
        <f>IFERROR(VLOOKUP(G831, 'Padronização'!A:C, 3, FALSE), "")</f>
        <v>Energia, grid, V2G; crise tratada como operação técnica</v>
      </c>
      <c r="G831" s="23" t="s">
        <v>12</v>
      </c>
      <c r="H831" s="33"/>
    </row>
    <row r="832" ht="22.5" customHeight="1">
      <c r="A832" s="4" t="s">
        <v>30</v>
      </c>
      <c r="B832" s="4">
        <v>2020.0</v>
      </c>
      <c r="C832" s="4" t="s">
        <v>33</v>
      </c>
      <c r="D832" s="4" t="s">
        <v>1058</v>
      </c>
      <c r="E832" s="4" t="str">
        <f>IFERROR(VLOOKUP(G832, 'Padronização'!A:C, 2, FALSE), "")</f>
        <v>✅</v>
      </c>
      <c r="F832" s="23" t="str">
        <f>IFERROR(VLOOKUP(G832, 'Padronização'!A:C, 3, FALSE), "")</f>
        <v>ABM/MAS aplicado à evacuação</v>
      </c>
      <c r="G832" s="3" t="s">
        <v>45</v>
      </c>
      <c r="H832" s="33"/>
    </row>
    <row r="833" ht="22.5" customHeight="1">
      <c r="A833" s="4" t="s">
        <v>30</v>
      </c>
      <c r="B833" s="4">
        <v>2020.0</v>
      </c>
      <c r="C833" s="4" t="s">
        <v>33</v>
      </c>
      <c r="D833" s="4" t="s">
        <v>1059</v>
      </c>
      <c r="E833" s="4" t="str">
        <f>IFERROR(VLOOKUP(G833, 'Padronização'!A:C, 2, FALSE), "")</f>
        <v>✅</v>
      </c>
      <c r="F833" s="23" t="str">
        <f>IFERROR(VLOOKUP(G833, 'Padronização'!A:C, 3, FALSE), "")</f>
        <v>ABM/MAS aplicado à evacuação</v>
      </c>
      <c r="G833" s="23" t="s">
        <v>45</v>
      </c>
      <c r="H833" s="33"/>
    </row>
    <row r="834" ht="22.5" hidden="1" customHeight="1">
      <c r="A834" s="4" t="s">
        <v>30</v>
      </c>
      <c r="B834" s="4">
        <v>2020.0</v>
      </c>
      <c r="C834" s="4" t="s">
        <v>33</v>
      </c>
      <c r="D834" s="4" t="s">
        <v>1060</v>
      </c>
      <c r="E834" s="4" t="str">
        <f>IFERROR(VLOOKUP(G834, 'Padronização'!A:C, 2, FALSE), "")</f>
        <v>⚠️</v>
      </c>
      <c r="F834" s="23" t="str">
        <f>IFERROR(VLOOKUP(G834, 'Padronização'!A:C, 3, FALSE), "")</f>
        <v>Emergência com evacuação específica</v>
      </c>
      <c r="G834" s="3" t="s">
        <v>57</v>
      </c>
      <c r="H834" s="33"/>
    </row>
    <row r="835" ht="22.5" hidden="1" customHeight="1">
      <c r="A835" s="4" t="s">
        <v>30</v>
      </c>
      <c r="B835" s="4">
        <v>2020.0</v>
      </c>
      <c r="C835" s="4" t="s">
        <v>87</v>
      </c>
      <c r="D835" s="4" t="s">
        <v>1061</v>
      </c>
      <c r="E835" s="4" t="str">
        <f>IFERROR(VLOOKUP(G835, 'Padronização'!A:C, 2, FALSE), "")</f>
        <v>⚠️</v>
      </c>
      <c r="F835" s="23" t="str">
        <f>IFERROR(VLOOKUP(G835, 'Padronização'!A:C, 3, FALSE), "")</f>
        <v>Emergência com evacuação específica</v>
      </c>
      <c r="G835" s="3" t="s">
        <v>57</v>
      </c>
      <c r="H835" s="33"/>
    </row>
    <row r="836" ht="22.5" hidden="1" customHeight="1">
      <c r="A836" s="4" t="s">
        <v>30</v>
      </c>
      <c r="B836" s="4">
        <v>2020.0</v>
      </c>
      <c r="C836" s="4" t="s">
        <v>87</v>
      </c>
      <c r="D836" s="4" t="s">
        <v>1062</v>
      </c>
      <c r="E836" s="4" t="str">
        <f>IFERROR(VLOOKUP(G836, 'Padronização'!A:C, 2, FALSE), "")</f>
        <v>❌</v>
      </c>
      <c r="F836" s="23" t="str">
        <f>IFERROR(VLOOKUP(G836, 'Padronização'!A:C, 3, FALSE), "")</f>
        <v>Algoritmo técnico / MAS sem humano / otimização </v>
      </c>
      <c r="G836" s="3" t="s">
        <v>15</v>
      </c>
      <c r="H836" s="33"/>
    </row>
    <row r="837" ht="22.5" hidden="1" customHeight="1">
      <c r="A837" s="4" t="s">
        <v>30</v>
      </c>
      <c r="B837" s="4">
        <v>2020.0</v>
      </c>
      <c r="C837" s="4" t="s">
        <v>87</v>
      </c>
      <c r="D837" s="4" t="s">
        <v>1063</v>
      </c>
      <c r="E837" s="4" t="str">
        <f>IFERROR(VLOOKUP(G837, 'Padronização'!A:C, 2, FALSE), "")</f>
        <v>❌</v>
      </c>
      <c r="F837" s="23" t="str">
        <f>IFERROR(VLOOKUP(G837, 'Padronização'!A:C, 3, FALSE), "")</f>
        <v>Não aborda cenário de crise ou desastre</v>
      </c>
      <c r="G837" s="3" t="s">
        <v>31</v>
      </c>
      <c r="H837" s="33"/>
    </row>
    <row r="838" ht="22.5" hidden="1" customHeight="1">
      <c r="A838" s="4" t="s">
        <v>30</v>
      </c>
      <c r="B838" s="4">
        <v>2020.0</v>
      </c>
      <c r="C838" s="4" t="s">
        <v>33</v>
      </c>
      <c r="D838" s="4" t="s">
        <v>1064</v>
      </c>
      <c r="E838" s="4" t="str">
        <f>IFERROR(VLOOKUP(G838, 'Padronização'!A:C, 2, FALSE), "")</f>
        <v>❌</v>
      </c>
      <c r="F838" s="23" t="str">
        <f>IFERROR(VLOOKUP(G838, 'Padronização'!A:C, 3, FALSE), "")</f>
        <v>Não aborda cenário de crise ou desastre</v>
      </c>
      <c r="G838" s="3" t="s">
        <v>31</v>
      </c>
      <c r="H838" s="33"/>
    </row>
    <row r="839" ht="22.5" hidden="1" customHeight="1">
      <c r="A839" s="4" t="s">
        <v>30</v>
      </c>
      <c r="B839" s="4">
        <v>2020.0</v>
      </c>
      <c r="C839" s="4" t="s">
        <v>87</v>
      </c>
      <c r="D839" s="4" t="s">
        <v>1065</v>
      </c>
      <c r="E839" s="4" t="str">
        <f>IFERROR(VLOOKUP(G839, 'Padronização'!A:C, 2, FALSE), "")</f>
        <v>❌</v>
      </c>
      <c r="F839" s="23" t="str">
        <f>IFERROR(VLOOKUP(G839, 'Padronização'!A:C, 3, FALSE), "")</f>
        <v>Artigo metodológico genérico (framework, design, how-to)</v>
      </c>
      <c r="G839" s="3" t="s">
        <v>27</v>
      </c>
      <c r="H839" s="33"/>
    </row>
    <row r="840" ht="22.5" hidden="1" customHeight="1">
      <c r="A840" s="4" t="s">
        <v>30</v>
      </c>
      <c r="B840" s="4">
        <v>2020.0</v>
      </c>
      <c r="C840" s="4" t="s">
        <v>87</v>
      </c>
      <c r="D840" s="4" t="s">
        <v>1066</v>
      </c>
      <c r="E840" s="4" t="str">
        <f>IFERROR(VLOOKUP(G840, 'Padronização'!A:C, 2, FALSE), "")</f>
        <v>⚠️</v>
      </c>
      <c r="F840" s="23" t="str">
        <f>IFERROR(VLOOKUP(G840, 'Padronização'!A:C, 3, FALSE), "")</f>
        <v>Emergência com evacuação específica</v>
      </c>
      <c r="G840" s="3" t="s">
        <v>57</v>
      </c>
      <c r="H840" s="33"/>
    </row>
    <row r="841" ht="22.5" hidden="1" customHeight="1">
      <c r="A841" s="4" t="s">
        <v>30</v>
      </c>
      <c r="B841" s="4">
        <v>2020.0</v>
      </c>
      <c r="C841" s="4" t="s">
        <v>87</v>
      </c>
      <c r="D841" s="4" t="s">
        <v>1067</v>
      </c>
      <c r="E841" s="4" t="str">
        <f>IFERROR(VLOOKUP(G841, 'Padronização'!A:C, 2, FALSE), "")</f>
        <v>❌</v>
      </c>
      <c r="F841" s="23" t="str">
        <f>IFERROR(VLOOKUP(G841, 'Padronização'!A:C, 3, FALSE), "")</f>
        <v>Não aborda cenário de crise ou desastre</v>
      </c>
      <c r="G841" s="3" t="s">
        <v>31</v>
      </c>
      <c r="H841" s="33"/>
    </row>
    <row r="842" ht="22.5" hidden="1" customHeight="1">
      <c r="A842" s="4" t="s">
        <v>30</v>
      </c>
      <c r="B842" s="4">
        <v>2020.0</v>
      </c>
      <c r="C842" s="4" t="s">
        <v>33</v>
      </c>
      <c r="D842" s="4" t="s">
        <v>1068</v>
      </c>
      <c r="E842" s="4" t="str">
        <f>IFERROR(VLOOKUP(G842, 'Padronização'!A:C, 2, FALSE), "")</f>
        <v>❌</v>
      </c>
      <c r="F842" s="23" t="str">
        <f>IFERROR(VLOOKUP(G842, 'Padronização'!A:C, 3, FALSE), "")</f>
        <v>Não aborda cenário de crise ou desastre</v>
      </c>
      <c r="G842" s="3" t="s">
        <v>31</v>
      </c>
      <c r="H842" s="33"/>
    </row>
    <row r="843" ht="22.5" hidden="1" customHeight="1">
      <c r="A843" s="4" t="s">
        <v>30</v>
      </c>
      <c r="B843" s="4">
        <v>2020.0</v>
      </c>
      <c r="C843" s="4" t="s">
        <v>87</v>
      </c>
      <c r="D843" s="4" t="s">
        <v>1069</v>
      </c>
      <c r="E843" s="4" t="str">
        <f>IFERROR(VLOOKUP(G843, 'Padronização'!A:C, 2, FALSE), "")</f>
        <v>❌</v>
      </c>
      <c r="F843" s="23" t="str">
        <f>IFERROR(VLOOKUP(G843, 'Padronização'!A:C, 3, FALSE), "")</f>
        <v>Telecomunicações emergenciais / alocação de rede; foco técnico</v>
      </c>
      <c r="G843" s="3" t="s">
        <v>5</v>
      </c>
      <c r="H843" s="33"/>
    </row>
    <row r="844" ht="22.5" hidden="1" customHeight="1">
      <c r="A844" s="4" t="s">
        <v>30</v>
      </c>
      <c r="B844" s="4">
        <v>2020.0</v>
      </c>
      <c r="C844" s="4" t="s">
        <v>87</v>
      </c>
      <c r="D844" s="4" t="s">
        <v>1070</v>
      </c>
      <c r="E844" s="4" t="str">
        <f>IFERROR(VLOOKUP(G844, 'Padronização'!A:C, 2, FALSE), "")</f>
        <v>❌</v>
      </c>
      <c r="F844" s="23" t="str">
        <f>IFERROR(VLOOKUP(G844, 'Padronização'!A:C, 3, FALSE), "")</f>
        <v>Emergência em saúde com foco operacional / Operação hospitalar</v>
      </c>
      <c r="G844" s="23" t="s">
        <v>38</v>
      </c>
      <c r="H844" s="33"/>
    </row>
    <row r="845" ht="22.5" hidden="1" customHeight="1">
      <c r="A845" s="4" t="s">
        <v>30</v>
      </c>
      <c r="B845" s="4">
        <v>2020.0</v>
      </c>
      <c r="C845" s="4" t="s">
        <v>33</v>
      </c>
      <c r="D845" s="4" t="s">
        <v>1071</v>
      </c>
      <c r="E845" s="4" t="str">
        <f>IFERROR(VLOOKUP(G845, 'Padronização'!A:C, 2, FALSE), "")</f>
        <v>❌</v>
      </c>
      <c r="F845" s="23" t="str">
        <f>IFERROR(VLOOKUP(G845, 'Padronização'!A:C, 3, FALSE), "")</f>
        <v>Supply chain / impacto econômico indireto</v>
      </c>
      <c r="G845" s="23" t="s">
        <v>34</v>
      </c>
      <c r="H845" s="33"/>
    </row>
    <row r="846" ht="22.5" hidden="1" customHeight="1">
      <c r="A846" s="4" t="s">
        <v>30</v>
      </c>
      <c r="B846" s="4">
        <v>2020.0</v>
      </c>
      <c r="C846" s="4" t="s">
        <v>33</v>
      </c>
      <c r="D846" s="4" t="s">
        <v>1072</v>
      </c>
      <c r="E846" s="4" t="str">
        <f>IFERROR(VLOOKUP(G846, 'Padronização'!A:C, 2, FALSE), "")</f>
        <v>❌</v>
      </c>
      <c r="F846" s="23" t="str">
        <f>IFERROR(VLOOKUP(G846, 'Padronização'!A:C, 3, FALSE), "")</f>
        <v>Artigo metodológico genérico (framework, design, how-to)</v>
      </c>
      <c r="G846" s="3" t="s">
        <v>27</v>
      </c>
      <c r="H846" s="33"/>
    </row>
    <row r="847" ht="22.5" hidden="1" customHeight="1">
      <c r="A847" s="4" t="s">
        <v>30</v>
      </c>
      <c r="B847" s="4">
        <v>2020.0</v>
      </c>
      <c r="C847" s="4" t="s">
        <v>33</v>
      </c>
      <c r="D847" s="4" t="s">
        <v>1073</v>
      </c>
      <c r="E847" s="4" t="str">
        <f>IFERROR(VLOOKUP(G847, 'Padronização'!A:C, 2, FALSE), "")</f>
        <v>⚠️</v>
      </c>
      <c r="F847" s="23" t="str">
        <f>IFERROR(VLOOKUP(G847, 'Padronização'!A:C, 3, FALSE), "")</f>
        <v>Emergência sem evacuação clara</v>
      </c>
      <c r="G847" s="3" t="s">
        <v>43</v>
      </c>
      <c r="H847" s="33"/>
    </row>
    <row r="848" ht="22.5" hidden="1" customHeight="1">
      <c r="A848" s="4" t="s">
        <v>30</v>
      </c>
      <c r="B848" s="4">
        <v>2020.0</v>
      </c>
      <c r="C848" s="4" t="s">
        <v>33</v>
      </c>
      <c r="D848" s="4" t="s">
        <v>1074</v>
      </c>
      <c r="E848" s="4" t="str">
        <f>IFERROR(VLOOKUP(G848, 'Padronização'!A:C, 2, FALSE), "")</f>
        <v>⚠️</v>
      </c>
      <c r="F848" s="23" t="str">
        <f>IFERROR(VLOOKUP(G848, 'Padronização'!A:C, 3, FALSE), "")</f>
        <v>Emergência com evacuação específica</v>
      </c>
      <c r="G848" s="3" t="s">
        <v>57</v>
      </c>
      <c r="H848" s="33"/>
    </row>
    <row r="849" ht="22.5" customHeight="1">
      <c r="A849" s="4" t="s">
        <v>30</v>
      </c>
      <c r="B849" s="4">
        <v>2020.0</v>
      </c>
      <c r="C849" s="4" t="s">
        <v>33</v>
      </c>
      <c r="D849" s="4" t="s">
        <v>798</v>
      </c>
      <c r="E849" s="4" t="str">
        <f>IFERROR(VLOOKUP(G849, 'Padronização'!A:C, 2, FALSE), "")</f>
        <v>✅</v>
      </c>
      <c r="F849" s="23" t="str">
        <f>IFERROR(VLOOKUP(G849, 'Padronização'!A:C, 3, FALSE), "")</f>
        <v>ABM/MAS focado em comportamento humano cognitivo</v>
      </c>
      <c r="G849" s="3" t="s">
        <v>47</v>
      </c>
      <c r="H849" s="33"/>
    </row>
    <row r="850" ht="22.5" hidden="1" customHeight="1">
      <c r="A850" s="4" t="s">
        <v>30</v>
      </c>
      <c r="B850" s="4">
        <v>2020.0</v>
      </c>
      <c r="C850" s="4" t="s">
        <v>33</v>
      </c>
      <c r="D850" s="4" t="s">
        <v>1075</v>
      </c>
      <c r="E850" s="4" t="str">
        <f>IFERROR(VLOOKUP(G850, 'Padronização'!A:C, 2, FALSE), "")</f>
        <v>❌</v>
      </c>
      <c r="F850" s="23" t="str">
        <f>IFERROR(VLOOKUP(G850, 'Padronização'!A:C, 3, FALSE), "")</f>
        <v>Não aborda cenário de crise ou desastre</v>
      </c>
      <c r="G850" s="3" t="s">
        <v>31</v>
      </c>
      <c r="H850" s="33"/>
    </row>
    <row r="851" ht="22.5" hidden="1" customHeight="1">
      <c r="A851" s="4" t="s">
        <v>30</v>
      </c>
      <c r="B851" s="4">
        <v>2020.0</v>
      </c>
      <c r="C851" s="4" t="s">
        <v>33</v>
      </c>
      <c r="D851" s="4" t="s">
        <v>1076</v>
      </c>
      <c r="E851" s="4" t="str">
        <f>IFERROR(VLOOKUP(G851, 'Padronização'!A:C, 2, FALSE), "")</f>
        <v>❌</v>
      </c>
      <c r="F851" s="23" t="str">
        <f>IFERROR(VLOOKUP(G851, 'Padronização'!A:C, 3, FALSE), "")</f>
        <v>Artigo metodológico genérico (framework, design, how-to)</v>
      </c>
      <c r="G851" s="3" t="s">
        <v>27</v>
      </c>
      <c r="H851" s="33"/>
    </row>
    <row r="852" ht="22.5" customHeight="1">
      <c r="A852" s="4" t="s">
        <v>30</v>
      </c>
      <c r="B852" s="4">
        <v>2020.0</v>
      </c>
      <c r="C852" s="4" t="s">
        <v>33</v>
      </c>
      <c r="D852" s="4" t="s">
        <v>1077</v>
      </c>
      <c r="E852" s="4" t="str">
        <f>IFERROR(VLOOKUP(G852, 'Padronização'!A:C, 2, FALSE), "")</f>
        <v>✅</v>
      </c>
      <c r="F852" s="23" t="str">
        <f>IFERROR(VLOOKUP(G852, 'Padronização'!A:C, 3, FALSE), "")</f>
        <v>ABM/MAS aplicado à evacuação</v>
      </c>
      <c r="G852" s="3" t="s">
        <v>45</v>
      </c>
      <c r="H852" s="33"/>
    </row>
    <row r="853" ht="22.5" hidden="1" customHeight="1">
      <c r="A853" s="4" t="s">
        <v>30</v>
      </c>
      <c r="B853" s="4">
        <v>2020.0</v>
      </c>
      <c r="C853" s="4" t="s">
        <v>33</v>
      </c>
      <c r="D853" s="4" t="s">
        <v>1078</v>
      </c>
      <c r="E853" s="4" t="str">
        <f>IFERROR(VLOOKUP(G853, 'Padronização'!A:C, 2, FALSE), "")</f>
        <v>❌</v>
      </c>
      <c r="F853" s="23" t="str">
        <f>IFERROR(VLOOKUP(G853, 'Padronização'!A:C, 3, FALSE), "")</f>
        <v>Artigo metodológico genérico (framework, design, how-to)</v>
      </c>
      <c r="G853" s="3" t="s">
        <v>27</v>
      </c>
      <c r="H853" s="33"/>
    </row>
    <row r="854" ht="22.5" hidden="1" customHeight="1">
      <c r="A854" s="4" t="s">
        <v>30</v>
      </c>
      <c r="B854" s="4">
        <v>2020.0</v>
      </c>
      <c r="C854" s="4" t="s">
        <v>33</v>
      </c>
      <c r="D854" s="4" t="s">
        <v>1079</v>
      </c>
      <c r="E854" s="4" t="str">
        <f>IFERROR(VLOOKUP(G854, 'Padronização'!A:C, 2, FALSE), "")</f>
        <v>❌</v>
      </c>
      <c r="F854" s="23" t="str">
        <f>IFERROR(VLOOKUP(G854, 'Padronização'!A:C, 3, FALSE), "")</f>
        <v>Energia, grid, V2G; crise tratada como operação técnica</v>
      </c>
      <c r="G854" s="3" t="s">
        <v>12</v>
      </c>
      <c r="H854" s="33"/>
    </row>
    <row r="855" ht="22.5" hidden="1" customHeight="1">
      <c r="A855" s="4" t="s">
        <v>30</v>
      </c>
      <c r="B855" s="4">
        <v>2020.0</v>
      </c>
      <c r="C855" s="4" t="s">
        <v>33</v>
      </c>
      <c r="D855" s="4" t="s">
        <v>1080</v>
      </c>
      <c r="E855" s="4" t="str">
        <f>IFERROR(VLOOKUP(G855, 'Padronização'!A:C, 2, FALSE), "")</f>
        <v>⚠️</v>
      </c>
      <c r="F855" s="23" t="str">
        <f>IFERROR(VLOOKUP(G855, 'Padronização'!A:C, 3, FALSE), "")</f>
        <v>Crise explícita com foco em infraestrutura</v>
      </c>
      <c r="G855" s="3" t="s">
        <v>40</v>
      </c>
      <c r="H855" s="33"/>
    </row>
    <row r="856" ht="22.5" customHeight="1">
      <c r="A856" s="4" t="s">
        <v>30</v>
      </c>
      <c r="B856" s="4">
        <v>2020.0</v>
      </c>
      <c r="C856" s="4" t="s">
        <v>87</v>
      </c>
      <c r="D856" s="4" t="s">
        <v>1081</v>
      </c>
      <c r="E856" s="4" t="str">
        <f>IFERROR(VLOOKUP(G856, 'Padronização'!A:C, 2, FALSE), "")</f>
        <v>✅</v>
      </c>
      <c r="F856" s="23" t="str">
        <f>IFERROR(VLOOKUP(G856, 'Padronização'!A:C, 3, FALSE), "")</f>
        <v>ABM/MAS aplicado à evacuação</v>
      </c>
      <c r="G856" s="3" t="s">
        <v>45</v>
      </c>
      <c r="H856" s="33"/>
    </row>
    <row r="857" ht="22.5" hidden="1" customHeight="1">
      <c r="A857" s="4" t="s">
        <v>30</v>
      </c>
      <c r="B857" s="4">
        <v>2020.0</v>
      </c>
      <c r="C857" s="4" t="s">
        <v>33</v>
      </c>
      <c r="D857" s="4" t="s">
        <v>1082</v>
      </c>
      <c r="E857" s="4" t="str">
        <f>IFERROR(VLOOKUP(G857, 'Padronização'!A:C, 2, FALSE), "")</f>
        <v>❌</v>
      </c>
      <c r="F857" s="23" t="str">
        <f>IFERROR(VLOOKUP(G857, 'Padronização'!A:C, 3, FALSE), "")</f>
        <v>Telecomunicações emergenciais / alocação de rede; foco técnico</v>
      </c>
      <c r="G857" s="3" t="s">
        <v>5</v>
      </c>
      <c r="H857" s="33"/>
    </row>
    <row r="858" ht="22.5" hidden="1" customHeight="1">
      <c r="A858" s="4" t="s">
        <v>30</v>
      </c>
      <c r="B858" s="4">
        <v>2020.0</v>
      </c>
      <c r="C858" s="4" t="s">
        <v>33</v>
      </c>
      <c r="D858" s="4" t="s">
        <v>1083</v>
      </c>
      <c r="E858" s="4" t="str">
        <f>IFERROR(VLOOKUP(G858, 'Padronização'!A:C, 2, FALSE), "")</f>
        <v>❌</v>
      </c>
      <c r="F858" s="23" t="str">
        <f>IFERROR(VLOOKUP(G858, 'Padronização'!A:C, 3, FALSE), "")</f>
        <v>Telecomunicações emergenciais / alocação de rede; foco técnico</v>
      </c>
      <c r="G858" s="3" t="s">
        <v>5</v>
      </c>
      <c r="H858" s="33"/>
    </row>
    <row r="859" ht="22.5" hidden="1" customHeight="1">
      <c r="A859" s="4" t="s">
        <v>30</v>
      </c>
      <c r="B859" s="4">
        <v>2020.0</v>
      </c>
      <c r="C859" s="4" t="s">
        <v>33</v>
      </c>
      <c r="D859" s="4" t="s">
        <v>1084</v>
      </c>
      <c r="E859" s="4" t="str">
        <f>IFERROR(VLOOKUP(G859, 'Padronização'!A:C, 2, FALSE), "")</f>
        <v>⚠️</v>
      </c>
      <c r="F859" s="23" t="str">
        <f>IFERROR(VLOOKUP(G859, 'Padronização'!A:C, 3, FALSE), "")</f>
        <v>Emergência com evacuação específica</v>
      </c>
      <c r="G859" s="3" t="s">
        <v>57</v>
      </c>
      <c r="H859" s="33"/>
    </row>
    <row r="860" ht="22.5" customHeight="1">
      <c r="A860" s="4" t="s">
        <v>30</v>
      </c>
      <c r="B860" s="4">
        <v>2020.0</v>
      </c>
      <c r="C860" s="4" t="s">
        <v>33</v>
      </c>
      <c r="D860" s="4" t="s">
        <v>1085</v>
      </c>
      <c r="E860" s="4" t="str">
        <f>IFERROR(VLOOKUP(G860, 'Padronização'!A:C, 2, FALSE), "")</f>
        <v>✅</v>
      </c>
      <c r="F860" s="23" t="str">
        <f>IFERROR(VLOOKUP(G860, 'Padronização'!A:C, 3, FALSE), "")</f>
        <v>Grupos vulneráveis em cenários de crise</v>
      </c>
      <c r="G860" s="3" t="s">
        <v>54</v>
      </c>
      <c r="H860" s="33"/>
    </row>
    <row r="861" ht="22.5" hidden="1" customHeight="1">
      <c r="A861" s="4" t="s">
        <v>30</v>
      </c>
      <c r="B861" s="4">
        <v>2020.0</v>
      </c>
      <c r="C861" s="4" t="s">
        <v>33</v>
      </c>
      <c r="D861" s="4" t="s">
        <v>1086</v>
      </c>
      <c r="E861" s="4" t="str">
        <f>IFERROR(VLOOKUP(G861, 'Padronização'!A:C, 2, FALSE), "")</f>
        <v>❌</v>
      </c>
      <c r="F861" s="23" t="str">
        <f>IFERROR(VLOOKUP(G861, 'Padronização'!A:C, 3, FALSE), "")</f>
        <v>Emergência em saúde com foco operacional / Operação hospitalar</v>
      </c>
      <c r="G861" s="3" t="s">
        <v>38</v>
      </c>
      <c r="H861" s="33"/>
    </row>
    <row r="862" ht="22.5" customHeight="1">
      <c r="A862" s="4" t="s">
        <v>30</v>
      </c>
      <c r="B862" s="4">
        <v>2020.0</v>
      </c>
      <c r="C862" s="4" t="s">
        <v>33</v>
      </c>
      <c r="D862" s="4" t="s">
        <v>1087</v>
      </c>
      <c r="E862" s="4" t="str">
        <f>IFERROR(VLOOKUP(G862, 'Padronização'!A:C, 2, FALSE), "")</f>
        <v>✅</v>
      </c>
      <c r="F862" s="23" t="str">
        <f>IFERROR(VLOOKUP(G862, 'Padronização'!A:C, 3, FALSE), "")</f>
        <v>ABM/MAS aplicado à evacuação</v>
      </c>
      <c r="G862" s="3" t="s">
        <v>45</v>
      </c>
      <c r="H862" s="33"/>
    </row>
    <row r="863" ht="22.5" hidden="1" customHeight="1">
      <c r="A863" s="4" t="s">
        <v>30</v>
      </c>
      <c r="B863" s="4">
        <v>2020.0</v>
      </c>
      <c r="C863" s="4" t="s">
        <v>87</v>
      </c>
      <c r="D863" s="4" t="s">
        <v>1088</v>
      </c>
      <c r="E863" s="4" t="str">
        <f>IFERROR(VLOOKUP(G863, 'Padronização'!A:C, 2, FALSE), "")</f>
        <v>⚠️</v>
      </c>
      <c r="F863" s="23" t="str">
        <f>IFERROR(VLOOKUP(G863, 'Padronização'!A:C, 3, FALSE), "")</f>
        <v>Emergência com evacuação específica</v>
      </c>
      <c r="G863" s="3" t="s">
        <v>57</v>
      </c>
      <c r="H863" s="33"/>
    </row>
    <row r="864" ht="22.5" customHeight="1">
      <c r="A864" s="4" t="s">
        <v>30</v>
      </c>
      <c r="B864" s="4">
        <v>2020.0</v>
      </c>
      <c r="C864" s="4" t="s">
        <v>87</v>
      </c>
      <c r="D864" s="4" t="s">
        <v>807</v>
      </c>
      <c r="E864" s="4" t="str">
        <f>IFERROR(VLOOKUP(G864, 'Padronização'!A:C, 2, FALSE), "")</f>
        <v>✅</v>
      </c>
      <c r="F864" s="23" t="str">
        <f>IFERROR(VLOOKUP(G864, 'Padronização'!A:C, 3, FALSE), "")</f>
        <v>ABM/MAS aplicado à evacuação</v>
      </c>
      <c r="G864" s="3" t="s">
        <v>45</v>
      </c>
      <c r="H864" s="33"/>
    </row>
    <row r="865" ht="22.5" hidden="1" customHeight="1">
      <c r="A865" s="4" t="s">
        <v>30</v>
      </c>
      <c r="B865" s="4">
        <v>2020.0</v>
      </c>
      <c r="C865" s="4" t="s">
        <v>87</v>
      </c>
      <c r="D865" s="4" t="s">
        <v>1089</v>
      </c>
      <c r="E865" s="4" t="str">
        <f>IFERROR(VLOOKUP(G865, 'Padronização'!A:C, 2, FALSE), "")</f>
        <v>⚠️</v>
      </c>
      <c r="F865" s="23" t="str">
        <f>IFERROR(VLOOKUP(G865, 'Padronização'!A:C, 3, FALSE), "")</f>
        <v>Emergência com evacuação específica</v>
      </c>
      <c r="G865" s="3" t="s">
        <v>57</v>
      </c>
      <c r="H865" s="33"/>
    </row>
    <row r="866" ht="22.5" hidden="1" customHeight="1">
      <c r="A866" s="4" t="s">
        <v>30</v>
      </c>
      <c r="B866" s="4">
        <v>2020.0</v>
      </c>
      <c r="C866" s="4" t="s">
        <v>87</v>
      </c>
      <c r="D866" s="4" t="s">
        <v>1090</v>
      </c>
      <c r="E866" s="4" t="str">
        <f>IFERROR(VLOOKUP(G866, 'Padronização'!A:C, 2, FALSE), "")</f>
        <v>❌</v>
      </c>
      <c r="F866" s="23" t="str">
        <f>IFERROR(VLOOKUP(G866, 'Padronização'!A:C, 3, FALSE), "")</f>
        <v>Artigo metodológico genérico (framework, design, how-to)</v>
      </c>
      <c r="G866" s="3" t="s">
        <v>27</v>
      </c>
      <c r="H866" s="33"/>
    </row>
    <row r="867" ht="22.5" customHeight="1">
      <c r="A867" s="4" t="s">
        <v>30</v>
      </c>
      <c r="B867" s="4">
        <v>2020.0</v>
      </c>
      <c r="C867" s="4" t="s">
        <v>33</v>
      </c>
      <c r="D867" s="4" t="s">
        <v>1091</v>
      </c>
      <c r="E867" s="4" t="str">
        <f>IFERROR(VLOOKUP(G867, 'Padronização'!A:C, 2, FALSE), "")</f>
        <v>✅</v>
      </c>
      <c r="F867" s="23" t="str">
        <f>IFERROR(VLOOKUP(G867, 'Padronização'!A:C, 3, FALSE), "")</f>
        <v>ABM/MAS focado em comportamento humano cognitivo</v>
      </c>
      <c r="G867" s="3" t="s">
        <v>47</v>
      </c>
      <c r="H867" s="33"/>
    </row>
    <row r="868" ht="22.5" hidden="1" customHeight="1">
      <c r="A868" s="4" t="s">
        <v>30</v>
      </c>
      <c r="B868" s="4">
        <v>2020.0</v>
      </c>
      <c r="C868" s="4" t="s">
        <v>87</v>
      </c>
      <c r="D868" s="4" t="s">
        <v>1092</v>
      </c>
      <c r="E868" s="4" t="str">
        <f>IFERROR(VLOOKUP(G868, 'Padronização'!A:C, 2, FALSE), "")</f>
        <v>❌</v>
      </c>
      <c r="F868" s="23" t="str">
        <f>IFERROR(VLOOKUP(G868, 'Padronização'!A:C, 3, FALSE), "")</f>
        <v>Artigo metodológico genérico (framework, design, how-to)</v>
      </c>
      <c r="G868" s="3" t="s">
        <v>27</v>
      </c>
      <c r="H868" s="33"/>
    </row>
    <row r="869" ht="22.5" customHeight="1">
      <c r="A869" s="4" t="s">
        <v>30</v>
      </c>
      <c r="B869" s="4">
        <v>2020.0</v>
      </c>
      <c r="C869" s="4" t="s">
        <v>87</v>
      </c>
      <c r="D869" s="4" t="s">
        <v>1093</v>
      </c>
      <c r="E869" s="4" t="str">
        <f>IFERROR(VLOOKUP(G869, 'Padronização'!A:C, 2, FALSE), "")</f>
        <v>✅</v>
      </c>
      <c r="F869" s="23" t="str">
        <f>IFERROR(VLOOKUP(G869, 'Padronização'!A:C, 3, FALSE), "")</f>
        <v>Grupos vulneráveis em cenários de crise</v>
      </c>
      <c r="G869" s="3" t="s">
        <v>54</v>
      </c>
      <c r="H869" s="33"/>
    </row>
    <row r="870" ht="22.5" hidden="1" customHeight="1">
      <c r="A870" s="4" t="s">
        <v>30</v>
      </c>
      <c r="B870" s="4">
        <v>2020.0</v>
      </c>
      <c r="C870" s="4" t="s">
        <v>87</v>
      </c>
      <c r="D870" s="4" t="s">
        <v>1094</v>
      </c>
      <c r="E870" s="4" t="str">
        <f>IFERROR(VLOOKUP(G870, 'Padronização'!A:C, 2, FALSE), "")</f>
        <v>⚠️</v>
      </c>
      <c r="F870" s="23" t="str">
        <f>IFERROR(VLOOKUP(G870, 'Padronização'!A:C, 3, FALSE), "")</f>
        <v>Emergência sem evacuação clara</v>
      </c>
      <c r="G870" s="3" t="s">
        <v>43</v>
      </c>
      <c r="H870" s="33"/>
    </row>
    <row r="871" ht="22.5" hidden="1" customHeight="1">
      <c r="A871" s="4" t="s">
        <v>30</v>
      </c>
      <c r="B871" s="4">
        <v>2020.0</v>
      </c>
      <c r="C871" s="4" t="s">
        <v>87</v>
      </c>
      <c r="D871" s="4" t="s">
        <v>1095</v>
      </c>
      <c r="E871" s="4" t="str">
        <f>IFERROR(VLOOKUP(G871, 'Padronização'!A:C, 2, FALSE), "")</f>
        <v>⚠️</v>
      </c>
      <c r="F871" s="23" t="str">
        <f>IFERROR(VLOOKUP(G871, 'Padronização'!A:C, 3, FALSE), "")</f>
        <v>Emergência sem evacuação clara</v>
      </c>
      <c r="G871" s="3" t="s">
        <v>43</v>
      </c>
      <c r="H871" s="33"/>
    </row>
    <row r="872" ht="22.5" hidden="1" customHeight="1">
      <c r="A872" s="4" t="s">
        <v>30</v>
      </c>
      <c r="B872" s="4">
        <v>2020.0</v>
      </c>
      <c r="C872" s="4" t="s">
        <v>33</v>
      </c>
      <c r="D872" s="4" t="s">
        <v>1096</v>
      </c>
      <c r="E872" s="4" t="str">
        <f>IFERROR(VLOOKUP(G872, 'Padronização'!A:C, 2, FALSE), "")</f>
        <v>⚠️</v>
      </c>
      <c r="F872" s="23" t="str">
        <f>IFERROR(VLOOKUP(G872, 'Padronização'!A:C, 3, FALSE), "")</f>
        <v>Emergência com evacuação específica</v>
      </c>
      <c r="G872" s="3" t="s">
        <v>57</v>
      </c>
      <c r="H872" s="33"/>
    </row>
    <row r="873" ht="22.5" hidden="1" customHeight="1">
      <c r="A873" s="4" t="s">
        <v>30</v>
      </c>
      <c r="B873" s="4">
        <v>2020.0</v>
      </c>
      <c r="C873" s="4" t="s">
        <v>87</v>
      </c>
      <c r="D873" s="4" t="s">
        <v>1097</v>
      </c>
      <c r="E873" s="4" t="str">
        <f>IFERROR(VLOOKUP(G873, 'Padronização'!A:C, 2, FALSE), "")</f>
        <v>⚠️</v>
      </c>
      <c r="F873" s="23" t="str">
        <f>IFERROR(VLOOKUP(G873, 'Padronização'!A:C, 3, FALSE), "")</f>
        <v>Crise explícita com foco em infraestrutura</v>
      </c>
      <c r="G873" s="3" t="s">
        <v>40</v>
      </c>
      <c r="H873" s="33"/>
    </row>
    <row r="874" ht="22.5" hidden="1" customHeight="1">
      <c r="A874" s="4" t="s">
        <v>30</v>
      </c>
      <c r="B874" s="4">
        <v>2020.0</v>
      </c>
      <c r="C874" s="4" t="s">
        <v>87</v>
      </c>
      <c r="D874" s="4" t="s">
        <v>1098</v>
      </c>
      <c r="E874" s="4" t="str">
        <f>IFERROR(VLOOKUP(G874, 'Padronização'!A:C, 2, FALSE), "")</f>
        <v>⚠️</v>
      </c>
      <c r="F874" s="23" t="str">
        <f>IFERROR(VLOOKUP(G874, 'Padronização'!A:C, 3, FALSE), "")</f>
        <v>Emergência com evacuação específica</v>
      </c>
      <c r="G874" s="3" t="s">
        <v>57</v>
      </c>
      <c r="H874" s="33"/>
    </row>
    <row r="875" ht="22.5" hidden="1" customHeight="1">
      <c r="A875" s="4" t="s">
        <v>30</v>
      </c>
      <c r="B875" s="4">
        <v>2020.0</v>
      </c>
      <c r="C875" s="4" t="s">
        <v>87</v>
      </c>
      <c r="D875" s="4" t="s">
        <v>1099</v>
      </c>
      <c r="E875" s="4" t="str">
        <f>IFERROR(VLOOKUP(G875, 'Padronização'!A:C, 2, FALSE), "")</f>
        <v>❌</v>
      </c>
      <c r="F875" s="23" t="str">
        <f>IFERROR(VLOOKUP(G875, 'Padronização'!A:C, 3, FALSE), "")</f>
        <v>Artigo metodológico genérico (framework, design, how-to)</v>
      </c>
      <c r="G875" s="3" t="s">
        <v>27</v>
      </c>
      <c r="H875" s="33"/>
    </row>
    <row r="876" ht="22.5" hidden="1" customHeight="1">
      <c r="A876" s="4" t="s">
        <v>30</v>
      </c>
      <c r="B876" s="4">
        <v>2020.0</v>
      </c>
      <c r="C876" s="4" t="s">
        <v>87</v>
      </c>
      <c r="D876" s="4" t="s">
        <v>1100</v>
      </c>
      <c r="E876" s="4" t="str">
        <f>IFERROR(VLOOKUP(G876, 'Padronização'!A:C, 2, FALSE), "")</f>
        <v>⚠️</v>
      </c>
      <c r="F876" s="23" t="str">
        <f>IFERROR(VLOOKUP(G876, 'Padronização'!A:C, 3, FALSE), "")</f>
        <v>Emergência com evacuação específica</v>
      </c>
      <c r="G876" s="3" t="s">
        <v>57</v>
      </c>
      <c r="H876" s="33"/>
    </row>
    <row r="877" ht="22.5" hidden="1" customHeight="1">
      <c r="A877" s="4" t="s">
        <v>30</v>
      </c>
      <c r="B877" s="4">
        <v>2020.0</v>
      </c>
      <c r="C877" s="4" t="s">
        <v>87</v>
      </c>
      <c r="D877" s="4" t="s">
        <v>1101</v>
      </c>
      <c r="E877" s="4" t="str">
        <f>IFERROR(VLOOKUP(G877, 'Padronização'!A:C, 2, FALSE), "")</f>
        <v>⚠️</v>
      </c>
      <c r="F877" s="23" t="str">
        <f>IFERROR(VLOOKUP(G877, 'Padronização'!A:C, 3, FALSE), "")</f>
        <v>Emergência com evacuação específica</v>
      </c>
      <c r="G877" s="3" t="s">
        <v>57</v>
      </c>
      <c r="H877" s="33"/>
    </row>
    <row r="878" ht="22.5" hidden="1" customHeight="1">
      <c r="A878" s="4" t="s">
        <v>30</v>
      </c>
      <c r="B878" s="4">
        <v>2020.0</v>
      </c>
      <c r="C878" s="4" t="s">
        <v>87</v>
      </c>
      <c r="D878" s="4" t="s">
        <v>1102</v>
      </c>
      <c r="E878" s="4" t="str">
        <f>IFERROR(VLOOKUP(G878, 'Padronização'!A:C, 2, FALSE), "")</f>
        <v>⚠️</v>
      </c>
      <c r="F878" s="23" t="str">
        <f>IFERROR(VLOOKUP(G878, 'Padronização'!A:C, 3, FALSE), "")</f>
        <v>Emergência sem evacuação clara</v>
      </c>
      <c r="G878" s="3" t="s">
        <v>43</v>
      </c>
      <c r="H878" s="33"/>
    </row>
    <row r="879" ht="22.5" hidden="1" customHeight="1">
      <c r="A879" s="4" t="s">
        <v>30</v>
      </c>
      <c r="B879" s="4">
        <v>2020.0</v>
      </c>
      <c r="C879" s="4" t="s">
        <v>33</v>
      </c>
      <c r="D879" s="4" t="s">
        <v>1103</v>
      </c>
      <c r="E879" s="4" t="str">
        <f>IFERROR(VLOOKUP(G879, 'Padronização'!A:C, 2, FALSE), "")</f>
        <v>⚠️</v>
      </c>
      <c r="F879" s="23" t="str">
        <f>IFERROR(VLOOKUP(G879, 'Padronização'!A:C, 3, FALSE), "")</f>
        <v>Emergência sem evacuação clara</v>
      </c>
      <c r="G879" s="3" t="s">
        <v>43</v>
      </c>
      <c r="H879" s="33"/>
    </row>
    <row r="880" ht="22.5" hidden="1" customHeight="1">
      <c r="A880" s="4" t="s">
        <v>30</v>
      </c>
      <c r="B880" s="4">
        <v>2020.0</v>
      </c>
      <c r="C880" s="4" t="s">
        <v>87</v>
      </c>
      <c r="D880" s="4" t="s">
        <v>1104</v>
      </c>
      <c r="E880" s="4" t="str">
        <f>IFERROR(VLOOKUP(G880, 'Padronização'!A:C, 2, FALSE), "")</f>
        <v>⚠️</v>
      </c>
      <c r="F880" s="23" t="str">
        <f>IFERROR(VLOOKUP(G880, 'Padronização'!A:C, 3, FALSE), "")</f>
        <v>Crise explícita com foco em infraestrutura</v>
      </c>
      <c r="G880" s="3" t="s">
        <v>40</v>
      </c>
      <c r="H880" s="33"/>
    </row>
    <row r="881" ht="22.5" hidden="1" customHeight="1">
      <c r="A881" s="4" t="s">
        <v>30</v>
      </c>
      <c r="B881" s="4">
        <v>2020.0</v>
      </c>
      <c r="C881" s="4" t="s">
        <v>87</v>
      </c>
      <c r="D881" s="4" t="s">
        <v>1105</v>
      </c>
      <c r="E881" s="4" t="str">
        <f>IFERROR(VLOOKUP(G881, 'Padronização'!A:C, 2, FALSE), "")</f>
        <v>❌</v>
      </c>
      <c r="F881" s="23" t="str">
        <f>IFERROR(VLOOKUP(G881, 'Padronização'!A:C, 3, FALSE), "")</f>
        <v>Artigo metodológico genérico (framework, design, how-to)</v>
      </c>
      <c r="G881" s="3" t="s">
        <v>27</v>
      </c>
      <c r="H881" s="33"/>
    </row>
    <row r="882" ht="22.5" hidden="1" customHeight="1">
      <c r="A882" s="4" t="s">
        <v>30</v>
      </c>
      <c r="B882" s="4">
        <v>2020.0</v>
      </c>
      <c r="C882" s="4" t="s">
        <v>33</v>
      </c>
      <c r="D882" s="4" t="s">
        <v>1106</v>
      </c>
      <c r="E882" s="4" t="str">
        <f>IFERROR(VLOOKUP(G882, 'Padronização'!A:C, 2, FALSE), "")</f>
        <v>⚠️</v>
      </c>
      <c r="F882" s="23" t="str">
        <f>IFERROR(VLOOKUP(G882, 'Padronização'!A:C, 3, FALSE), "")</f>
        <v>Crise explícita com foco em infraestrutura</v>
      </c>
      <c r="G882" s="23" t="s">
        <v>40</v>
      </c>
      <c r="H882" s="33"/>
    </row>
    <row r="883" ht="22.5" hidden="1" customHeight="1">
      <c r="A883" s="4" t="s">
        <v>30</v>
      </c>
      <c r="B883" s="4">
        <v>2020.0</v>
      </c>
      <c r="C883" s="4" t="s">
        <v>87</v>
      </c>
      <c r="D883" s="4" t="s">
        <v>1107</v>
      </c>
      <c r="E883" s="4" t="str">
        <f>IFERROR(VLOOKUP(G883, 'Padronização'!A:C, 2, FALSE), "")</f>
        <v>❌</v>
      </c>
      <c r="F883" s="23" t="str">
        <f>IFERROR(VLOOKUP(G883, 'Padronização'!A:C, 3, FALSE), "")</f>
        <v>Artigo metodológico genérico (framework, design, how-to)</v>
      </c>
      <c r="G883" s="3" t="s">
        <v>27</v>
      </c>
      <c r="H883" s="33"/>
    </row>
    <row r="884" ht="22.5" hidden="1" customHeight="1">
      <c r="A884" s="4" t="s">
        <v>30</v>
      </c>
      <c r="B884" s="4">
        <v>2020.0</v>
      </c>
      <c r="C884" s="4" t="s">
        <v>33</v>
      </c>
      <c r="D884" s="4" t="s">
        <v>1108</v>
      </c>
      <c r="E884" s="4" t="str">
        <f>IFERROR(VLOOKUP(G884, 'Padronização'!A:C, 2, FALSE), "")</f>
        <v>⚠️</v>
      </c>
      <c r="F884" s="23" t="str">
        <f>IFERROR(VLOOKUP(G884, 'Padronização'!A:C, 3, FALSE), "")</f>
        <v>Emergência com evacuação específica</v>
      </c>
      <c r="G884" s="3" t="s">
        <v>57</v>
      </c>
      <c r="H884" s="33"/>
    </row>
    <row r="885" ht="22.5" hidden="1" customHeight="1">
      <c r="A885" s="4" t="s">
        <v>30</v>
      </c>
      <c r="B885" s="4">
        <v>2020.0</v>
      </c>
      <c r="C885" s="4" t="s">
        <v>87</v>
      </c>
      <c r="D885" s="4" t="s">
        <v>1109</v>
      </c>
      <c r="E885" s="4" t="str">
        <f>IFERROR(VLOOKUP(G885, 'Padronização'!A:C, 2, FALSE), "")</f>
        <v>⚠️</v>
      </c>
      <c r="F885" s="23" t="str">
        <f>IFERROR(VLOOKUP(G885, 'Padronização'!A:C, 3, FALSE), "")</f>
        <v>Emergência com evacuação específica</v>
      </c>
      <c r="G885" s="3" t="s">
        <v>57</v>
      </c>
      <c r="H885" s="33"/>
    </row>
    <row r="886" ht="22.5" customHeight="1">
      <c r="A886" s="4" t="s">
        <v>30</v>
      </c>
      <c r="B886" s="4">
        <v>2020.0</v>
      </c>
      <c r="C886" s="4" t="s">
        <v>87</v>
      </c>
      <c r="D886" s="4" t="s">
        <v>815</v>
      </c>
      <c r="E886" s="4" t="str">
        <f>IFERROR(VLOOKUP(G886, 'Padronização'!A:C, 2, FALSE), "")</f>
        <v>✅</v>
      </c>
      <c r="F886" s="23" t="str">
        <f>IFERROR(VLOOKUP(G886, 'Padronização'!A:C, 3, FALSE), "")</f>
        <v>ABM/MAS focado em comportamento humano cognitivo</v>
      </c>
      <c r="G886" s="3" t="s">
        <v>47</v>
      </c>
      <c r="H886" s="33"/>
    </row>
    <row r="887" ht="22.5" hidden="1" customHeight="1">
      <c r="A887" s="4" t="s">
        <v>30</v>
      </c>
      <c r="B887" s="4">
        <v>2020.0</v>
      </c>
      <c r="C887" s="4" t="s">
        <v>33</v>
      </c>
      <c r="D887" s="4" t="s">
        <v>1110</v>
      </c>
      <c r="E887" s="4" t="str">
        <f>IFERROR(VLOOKUP(G887, 'Padronização'!A:C, 2, FALSE), "")</f>
        <v>❌</v>
      </c>
      <c r="F887" s="23" t="str">
        <f>IFERROR(VLOOKUP(G887, 'Padronização'!A:C, 3, FALSE), "")</f>
        <v>Emergência em saúde com foco operacional / Operação hospitalar</v>
      </c>
      <c r="G887" s="3" t="s">
        <v>38</v>
      </c>
      <c r="H887" s="33"/>
    </row>
    <row r="888" ht="22.5" hidden="1" customHeight="1">
      <c r="A888" s="4" t="s">
        <v>30</v>
      </c>
      <c r="B888" s="4">
        <v>2020.0</v>
      </c>
      <c r="C888" s="4" t="s">
        <v>87</v>
      </c>
      <c r="D888" s="4" t="s">
        <v>1111</v>
      </c>
      <c r="E888" s="4" t="str">
        <f>IFERROR(VLOOKUP(G888, 'Padronização'!A:C, 2, FALSE), "")</f>
        <v>❌</v>
      </c>
      <c r="F888" s="23" t="str">
        <f>IFERROR(VLOOKUP(G888, 'Padronização'!A:C, 3, FALSE), "")</f>
        <v>Artigo metodológico genérico (framework, design, how-to)</v>
      </c>
      <c r="G888" s="3" t="s">
        <v>27</v>
      </c>
      <c r="H888" s="33"/>
    </row>
    <row r="889" ht="22.5" customHeight="1">
      <c r="A889" s="4" t="s">
        <v>30</v>
      </c>
      <c r="B889" s="4">
        <v>2020.0</v>
      </c>
      <c r="C889" s="4" t="s">
        <v>87</v>
      </c>
      <c r="D889" s="4" t="s">
        <v>817</v>
      </c>
      <c r="E889" s="4" t="str">
        <f>IFERROR(VLOOKUP(G889, 'Padronização'!A:C, 2, FALSE), "")</f>
        <v>✅</v>
      </c>
      <c r="F889" s="23" t="str">
        <f>IFERROR(VLOOKUP(G889, 'Padronização'!A:C, 3, FALSE), "")</f>
        <v>Resposta humana a alertas e decisões</v>
      </c>
      <c r="G889" s="3" t="s">
        <v>50</v>
      </c>
      <c r="H889" s="33"/>
    </row>
    <row r="890" ht="22.5" hidden="1" customHeight="1">
      <c r="A890" s="4" t="s">
        <v>30</v>
      </c>
      <c r="B890" s="4">
        <v>2020.0</v>
      </c>
      <c r="C890" s="4" t="s">
        <v>87</v>
      </c>
      <c r="D890" s="4" t="s">
        <v>1112</v>
      </c>
      <c r="E890" s="4" t="str">
        <f>IFERROR(VLOOKUP(G890, 'Padronização'!A:C, 2, FALSE), "")</f>
        <v>❌</v>
      </c>
      <c r="F890" s="23" t="str">
        <f>IFERROR(VLOOKUP(G890, 'Padronização'!A:C, 3, FALSE), "")</f>
        <v>Não aborda cenário de crise ou desastre</v>
      </c>
      <c r="G890" s="3" t="s">
        <v>31</v>
      </c>
      <c r="H890" s="33"/>
    </row>
    <row r="891" ht="22.5" hidden="1" customHeight="1">
      <c r="A891" s="4" t="s">
        <v>30</v>
      </c>
      <c r="B891" s="4">
        <v>2020.0</v>
      </c>
      <c r="C891" s="4" t="s">
        <v>87</v>
      </c>
      <c r="D891" s="4" t="s">
        <v>1113</v>
      </c>
      <c r="E891" s="4" t="str">
        <f>IFERROR(VLOOKUP(G891, 'Padronização'!A:C, 2, FALSE), "")</f>
        <v>⚠️</v>
      </c>
      <c r="F891" s="23" t="str">
        <f>IFERROR(VLOOKUP(G891, 'Padronização'!A:C, 3, FALSE), "")</f>
        <v>Crise explícita com foco em infraestrutura</v>
      </c>
      <c r="G891" s="23" t="s">
        <v>40</v>
      </c>
      <c r="H891" s="33"/>
    </row>
    <row r="892" ht="22.5" hidden="1" customHeight="1">
      <c r="A892" s="4" t="s">
        <v>30</v>
      </c>
      <c r="B892" s="4">
        <v>2020.0</v>
      </c>
      <c r="C892" s="4" t="s">
        <v>87</v>
      </c>
      <c r="D892" s="4" t="s">
        <v>1114</v>
      </c>
      <c r="E892" s="4" t="str">
        <f>IFERROR(VLOOKUP(G892, 'Padronização'!A:C, 2, FALSE), "")</f>
        <v>❌</v>
      </c>
      <c r="F892" s="23" t="str">
        <f>IFERROR(VLOOKUP(G892, 'Padronização'!A:C, 3, FALSE), "")</f>
        <v>Não aborda cenário de crise ou desastre</v>
      </c>
      <c r="G892" s="3" t="s">
        <v>31</v>
      </c>
      <c r="H892" s="33"/>
    </row>
    <row r="893" ht="22.5" hidden="1" customHeight="1">
      <c r="A893" s="4" t="s">
        <v>30</v>
      </c>
      <c r="B893" s="4">
        <v>2020.0</v>
      </c>
      <c r="C893" s="4" t="s">
        <v>87</v>
      </c>
      <c r="D893" s="4" t="s">
        <v>1115</v>
      </c>
      <c r="E893" s="4" t="str">
        <f>IFERROR(VLOOKUP(G893, 'Padronização'!A:C, 2, FALSE), "")</f>
        <v>❌</v>
      </c>
      <c r="F893" s="23" t="str">
        <f>IFERROR(VLOOKUP(G893, 'Padronização'!A:C, 3, FALSE), "")</f>
        <v>Artigo metodológico genérico (framework, design, how-to)</v>
      </c>
      <c r="G893" s="3" t="s">
        <v>27</v>
      </c>
      <c r="H893" s="33"/>
    </row>
    <row r="894" ht="22.5" hidden="1" customHeight="1">
      <c r="A894" s="4" t="s">
        <v>30</v>
      </c>
      <c r="B894" s="4">
        <v>2020.0</v>
      </c>
      <c r="C894" s="4" t="s">
        <v>87</v>
      </c>
      <c r="D894" s="4" t="s">
        <v>1116</v>
      </c>
      <c r="E894" s="4" t="str">
        <f>IFERROR(VLOOKUP(G894, 'Padronização'!A:C, 2, FALSE), "")</f>
        <v>❌</v>
      </c>
      <c r="F894" s="23" t="str">
        <f>IFERROR(VLOOKUP(G894, 'Padronização'!A:C, 3, FALSE), "")</f>
        <v>Supply chain / impacto econômico indireto</v>
      </c>
      <c r="G894" s="3" t="s">
        <v>34</v>
      </c>
      <c r="H894" s="33"/>
    </row>
    <row r="895" ht="22.5" hidden="1" customHeight="1">
      <c r="A895" s="4" t="s">
        <v>30</v>
      </c>
      <c r="B895" s="4">
        <v>2020.0</v>
      </c>
      <c r="C895" s="4" t="s">
        <v>87</v>
      </c>
      <c r="D895" s="4" t="s">
        <v>1117</v>
      </c>
      <c r="E895" s="4" t="str">
        <f>IFERROR(VLOOKUP(G895, 'Padronização'!A:C, 2, FALSE), "")</f>
        <v>❌</v>
      </c>
      <c r="F895" s="23" t="str">
        <f>IFERROR(VLOOKUP(G895, 'Padronização'!A:C, 3, FALSE), "")</f>
        <v>Transporte / tráfego em operação normal</v>
      </c>
      <c r="G895" s="3" t="s">
        <v>19</v>
      </c>
      <c r="H895" s="33"/>
    </row>
    <row r="896" ht="22.5" hidden="1" customHeight="1">
      <c r="A896" s="4" t="s">
        <v>30</v>
      </c>
      <c r="B896" s="4">
        <v>2020.0</v>
      </c>
      <c r="C896" s="4" t="s">
        <v>33</v>
      </c>
      <c r="D896" s="4" t="s">
        <v>1118</v>
      </c>
      <c r="E896" s="4" t="str">
        <f>IFERROR(VLOOKUP(G896, 'Padronização'!A:C, 2, FALSE), "")</f>
        <v>❌</v>
      </c>
      <c r="F896" s="23" t="str">
        <f>IFERROR(VLOOKUP(G896, 'Padronização'!A:C, 3, FALSE), "")</f>
        <v>Emergência em saúde com foco operacional / Operação hospitalar</v>
      </c>
      <c r="G896" s="3" t="s">
        <v>38</v>
      </c>
      <c r="H896" s="33"/>
    </row>
    <row r="897" ht="22.5" hidden="1" customHeight="1">
      <c r="A897" s="4" t="s">
        <v>30</v>
      </c>
      <c r="B897" s="4">
        <v>2020.0</v>
      </c>
      <c r="C897" s="4" t="s">
        <v>33</v>
      </c>
      <c r="D897" s="4" t="s">
        <v>1119</v>
      </c>
      <c r="E897" s="4" t="str">
        <f>IFERROR(VLOOKUP(G897, 'Padronização'!A:C, 2, FALSE), "")</f>
        <v>❌</v>
      </c>
      <c r="F897" s="23" t="str">
        <f>IFERROR(VLOOKUP(G897, 'Padronização'!A:C, 3, FALSE), "")</f>
        <v>Emergência em saúde com foco operacional / Operação hospitalar</v>
      </c>
      <c r="G897" s="3" t="s">
        <v>38</v>
      </c>
      <c r="H897" s="33"/>
    </row>
    <row r="898" ht="22.5" hidden="1" customHeight="1">
      <c r="A898" s="4" t="s">
        <v>30</v>
      </c>
      <c r="B898" s="4">
        <v>2020.0</v>
      </c>
      <c r="C898" s="4" t="s">
        <v>87</v>
      </c>
      <c r="D898" s="4" t="s">
        <v>1120</v>
      </c>
      <c r="E898" s="4" t="str">
        <f>IFERROR(VLOOKUP(G898, 'Padronização'!A:C, 2, FALSE), "")</f>
        <v>❌</v>
      </c>
      <c r="F898" s="23" t="str">
        <f>IFERROR(VLOOKUP(G898, 'Padronização'!A:C, 3, FALSE), "")</f>
        <v>Emergência em saúde com foco operacional / Operação hospitalar</v>
      </c>
      <c r="G898" s="3" t="s">
        <v>38</v>
      </c>
      <c r="H898" s="33"/>
    </row>
    <row r="899" ht="22.5" hidden="1" customHeight="1">
      <c r="A899" s="4" t="s">
        <v>30</v>
      </c>
      <c r="B899" s="4">
        <v>2020.0</v>
      </c>
      <c r="C899" s="4" t="s">
        <v>87</v>
      </c>
      <c r="D899" s="4" t="s">
        <v>1121</v>
      </c>
      <c r="E899" s="4" t="str">
        <f>IFERROR(VLOOKUP(G899, 'Padronização'!A:C, 2, FALSE), "")</f>
        <v>⚠️</v>
      </c>
      <c r="F899" s="23" t="str">
        <f>IFERROR(VLOOKUP(G899, 'Padronização'!A:C, 3, FALSE), "")</f>
        <v>Emergência sem evacuação clara</v>
      </c>
      <c r="G899" s="3" t="s">
        <v>43</v>
      </c>
      <c r="H899" s="33"/>
    </row>
    <row r="900" ht="22.5" hidden="1" customHeight="1">
      <c r="A900" s="4" t="s">
        <v>30</v>
      </c>
      <c r="B900" s="4">
        <v>2020.0</v>
      </c>
      <c r="C900" s="4" t="s">
        <v>87</v>
      </c>
      <c r="D900" s="4" t="s">
        <v>1122</v>
      </c>
      <c r="E900" s="4" t="str">
        <f>IFERROR(VLOOKUP(G900, 'Padronização'!A:C, 2, FALSE), "")</f>
        <v>⚠️</v>
      </c>
      <c r="F900" s="23" t="str">
        <f>IFERROR(VLOOKUP(G900, 'Padronização'!A:C, 3, FALSE), "")</f>
        <v>Emergência sem evacuação clara</v>
      </c>
      <c r="G900" s="3" t="s">
        <v>43</v>
      </c>
      <c r="H900" s="33"/>
    </row>
    <row r="901" ht="22.5" hidden="1" customHeight="1">
      <c r="A901" s="4" t="s">
        <v>30</v>
      </c>
      <c r="B901" s="4">
        <v>2020.0</v>
      </c>
      <c r="C901" s="4" t="s">
        <v>33</v>
      </c>
      <c r="D901" s="4" t="s">
        <v>1123</v>
      </c>
      <c r="E901" s="4" t="str">
        <f>IFERROR(VLOOKUP(G901, 'Padronização'!A:C, 2, FALSE), "")</f>
        <v>❌</v>
      </c>
      <c r="F901" s="23" t="str">
        <f>IFERROR(VLOOKUP(G901, 'Padronização'!A:C, 3, FALSE), "")</f>
        <v>Telecomunicações emergenciais / alocação de rede; foco técnico</v>
      </c>
      <c r="G901" s="3" t="s">
        <v>5</v>
      </c>
      <c r="H901" s="33"/>
    </row>
    <row r="902" ht="22.5" hidden="1" customHeight="1">
      <c r="A902" s="4" t="s">
        <v>30</v>
      </c>
      <c r="B902" s="4">
        <v>2020.0</v>
      </c>
      <c r="C902" s="4" t="s">
        <v>87</v>
      </c>
      <c r="D902" s="4" t="s">
        <v>1124</v>
      </c>
      <c r="E902" s="4" t="str">
        <f>IFERROR(VLOOKUP(G902, 'Padronização'!A:C, 2, FALSE), "")</f>
        <v>❌</v>
      </c>
      <c r="F902" s="23" t="str">
        <f>IFERROR(VLOOKUP(G902, 'Padronização'!A:C, 3, FALSE), "")</f>
        <v>Artigo metodológico genérico (framework, design, how-to)</v>
      </c>
      <c r="G902" s="3" t="s">
        <v>27</v>
      </c>
      <c r="H902" s="33"/>
    </row>
    <row r="903" ht="22.5" hidden="1" customHeight="1">
      <c r="A903" s="4" t="s">
        <v>30</v>
      </c>
      <c r="B903" s="4">
        <v>2020.0</v>
      </c>
      <c r="C903" s="4" t="s">
        <v>87</v>
      </c>
      <c r="D903" s="4" t="s">
        <v>1125</v>
      </c>
      <c r="E903" s="4" t="str">
        <f>IFERROR(VLOOKUP(G903, 'Padronização'!A:C, 2, FALSE), "")</f>
        <v>⚠️</v>
      </c>
      <c r="F903" s="23" t="str">
        <f>IFERROR(VLOOKUP(G903, 'Padronização'!A:C, 3, FALSE), "")</f>
        <v>Emergência sem evacuação clara</v>
      </c>
      <c r="G903" s="3" t="s">
        <v>43</v>
      </c>
      <c r="H903" s="33"/>
    </row>
    <row r="904" ht="22.5" hidden="1" customHeight="1">
      <c r="A904" s="4" t="s">
        <v>30</v>
      </c>
      <c r="B904" s="4">
        <v>2020.0</v>
      </c>
      <c r="C904" s="4" t="s">
        <v>33</v>
      </c>
      <c r="D904" s="4" t="s">
        <v>1126</v>
      </c>
      <c r="E904" s="4" t="str">
        <f>IFERROR(VLOOKUP(G904, 'Padronização'!A:C, 2, FALSE), "")</f>
        <v>⚠️</v>
      </c>
      <c r="F904" s="23" t="str">
        <f>IFERROR(VLOOKUP(G904, 'Padronização'!A:C, 3, FALSE), "")</f>
        <v>Crise explícita com foco em infraestrutura</v>
      </c>
      <c r="G904" s="3" t="s">
        <v>40</v>
      </c>
      <c r="H904" s="33"/>
    </row>
    <row r="905" ht="22.5" hidden="1" customHeight="1">
      <c r="A905" s="4" t="s">
        <v>30</v>
      </c>
      <c r="B905" s="4">
        <v>2020.0</v>
      </c>
      <c r="C905" s="4" t="s">
        <v>87</v>
      </c>
      <c r="D905" s="4" t="s">
        <v>1127</v>
      </c>
      <c r="E905" s="4" t="str">
        <f>IFERROR(VLOOKUP(G905, 'Padronização'!A:C, 2, FALSE), "")</f>
        <v>⚠️</v>
      </c>
      <c r="F905" s="23" t="str">
        <f>IFERROR(VLOOKUP(G905, 'Padronização'!A:C, 3, FALSE), "")</f>
        <v>Emergência sem evacuação clara</v>
      </c>
      <c r="G905" s="3" t="s">
        <v>43</v>
      </c>
      <c r="H905" s="33"/>
    </row>
    <row r="906" ht="22.5" customHeight="1">
      <c r="A906" s="4" t="s">
        <v>30</v>
      </c>
      <c r="B906" s="4">
        <v>2020.0</v>
      </c>
      <c r="C906" s="4" t="s">
        <v>87</v>
      </c>
      <c r="D906" s="4" t="s">
        <v>1128</v>
      </c>
      <c r="E906" s="4" t="str">
        <f>IFERROR(VLOOKUP(G906, 'Padronização'!A:C, 2, FALSE), "")</f>
        <v>✅</v>
      </c>
      <c r="F906" s="23" t="str">
        <f>IFERROR(VLOOKUP(G906, 'Padronização'!A:C, 3, FALSE), "")</f>
        <v>ABM/MAS focado em comportamento humano cognitivo</v>
      </c>
      <c r="G906" s="3" t="s">
        <v>47</v>
      </c>
      <c r="H906" s="33"/>
    </row>
    <row r="907" ht="22.5" hidden="1" customHeight="1">
      <c r="A907" s="4" t="s">
        <v>30</v>
      </c>
      <c r="B907" s="4">
        <v>2020.0</v>
      </c>
      <c r="C907" s="4" t="s">
        <v>33</v>
      </c>
      <c r="D907" s="4" t="s">
        <v>1129</v>
      </c>
      <c r="E907" s="4" t="str">
        <f>IFERROR(VLOOKUP(G907, 'Padronização'!A:C, 2, FALSE), "")</f>
        <v>❌</v>
      </c>
      <c r="F907" s="23" t="str">
        <f>IFERROR(VLOOKUP(G907, 'Padronização'!A:C, 3, FALSE), "")</f>
        <v>Energia, grid, V2G; crise tratada como operação técnica</v>
      </c>
      <c r="G907" s="3" t="s">
        <v>12</v>
      </c>
      <c r="H907" s="33"/>
    </row>
    <row r="908" ht="22.5" hidden="1" customHeight="1">
      <c r="A908" s="4" t="s">
        <v>30</v>
      </c>
      <c r="B908" s="4">
        <v>2020.0</v>
      </c>
      <c r="C908" s="4" t="s">
        <v>33</v>
      </c>
      <c r="D908" s="4" t="s">
        <v>1130</v>
      </c>
      <c r="E908" s="4" t="str">
        <f>IFERROR(VLOOKUP(G908, 'Padronização'!A:C, 2, FALSE), "")</f>
        <v>❌</v>
      </c>
      <c r="F908" s="23" t="str">
        <f>IFERROR(VLOOKUP(G908, 'Padronização'!A:C, 3, FALSE), "")</f>
        <v>Transporte / tráfego em operação normal</v>
      </c>
      <c r="G908" s="3" t="s">
        <v>19</v>
      </c>
      <c r="H908" s="33"/>
    </row>
    <row r="909" ht="22.5" hidden="1" customHeight="1">
      <c r="A909" s="4" t="s">
        <v>30</v>
      </c>
      <c r="B909" s="4">
        <v>2020.0</v>
      </c>
      <c r="C909" s="4" t="s">
        <v>87</v>
      </c>
      <c r="D909" s="4" t="s">
        <v>1131</v>
      </c>
      <c r="E909" s="4" t="str">
        <f>IFERROR(VLOOKUP(G909, 'Padronização'!A:C, 2, FALSE), "")</f>
        <v>❌</v>
      </c>
      <c r="F909" s="23" t="str">
        <f>IFERROR(VLOOKUP(G909, 'Padronização'!A:C, 3, FALSE), "")</f>
        <v>Telecomunicações emergenciais / alocação de rede; foco técnico</v>
      </c>
      <c r="G909" s="3" t="s">
        <v>5</v>
      </c>
      <c r="H909" s="33"/>
    </row>
    <row r="910" ht="22.5" hidden="1" customHeight="1">
      <c r="A910" s="4" t="s">
        <v>30</v>
      </c>
      <c r="B910" s="4">
        <v>2020.0</v>
      </c>
      <c r="C910" s="4" t="s">
        <v>87</v>
      </c>
      <c r="D910" s="4" t="s">
        <v>1132</v>
      </c>
      <c r="E910" s="4" t="str">
        <f>IFERROR(VLOOKUP(G910, 'Padronização'!A:C, 2, FALSE), "")</f>
        <v>❌</v>
      </c>
      <c r="F910" s="23" t="str">
        <f>IFERROR(VLOOKUP(G910, 'Padronização'!A:C, 3, FALSE), "")</f>
        <v>Transporte / tráfego em operação normal</v>
      </c>
      <c r="G910" s="3" t="s">
        <v>19</v>
      </c>
      <c r="H910" s="33"/>
    </row>
    <row r="911" ht="22.5" hidden="1" customHeight="1">
      <c r="A911" s="4" t="s">
        <v>30</v>
      </c>
      <c r="B911" s="4">
        <v>2020.0</v>
      </c>
      <c r="C911" s="4" t="s">
        <v>87</v>
      </c>
      <c r="D911" s="4" t="s">
        <v>1133</v>
      </c>
      <c r="E911" s="4" t="str">
        <f>IFERROR(VLOOKUP(G911, 'Padronização'!A:C, 2, FALSE), "")</f>
        <v>❌</v>
      </c>
      <c r="F911" s="23" t="str">
        <f>IFERROR(VLOOKUP(G911, 'Padronização'!A:C, 3, FALSE), "")</f>
        <v>Supply chain / impacto econômico indireto</v>
      </c>
      <c r="G911" s="3" t="s">
        <v>34</v>
      </c>
      <c r="H911" s="33"/>
    </row>
    <row r="912" ht="22.5" hidden="1" customHeight="1">
      <c r="A912" s="4" t="s">
        <v>30</v>
      </c>
      <c r="B912" s="4">
        <v>2020.0</v>
      </c>
      <c r="C912" s="4" t="s">
        <v>87</v>
      </c>
      <c r="D912" s="29" t="s">
        <v>1134</v>
      </c>
      <c r="E912" s="4" t="str">
        <f>IFERROR(VLOOKUP(G912, 'Padronização'!A:C, 2, FALSE), "")</f>
        <v>❌</v>
      </c>
      <c r="F912" s="23" t="str">
        <f>IFERROR(VLOOKUP(G912, 'Padronização'!A:C, 3, FALSE), "")</f>
        <v>Supply chain / impacto econômico indireto</v>
      </c>
      <c r="G912" s="23" t="s">
        <v>34</v>
      </c>
      <c r="H912" s="33"/>
    </row>
    <row r="913" ht="22.5" hidden="1" customHeight="1">
      <c r="A913" s="4" t="s">
        <v>30</v>
      </c>
      <c r="B913" s="4">
        <v>2020.0</v>
      </c>
      <c r="C913" s="4" t="s">
        <v>87</v>
      </c>
      <c r="D913" s="4" t="s">
        <v>1135</v>
      </c>
      <c r="E913" s="4" t="str">
        <f>IFERROR(VLOOKUP(G913, 'Padronização'!A:C, 2, FALSE), "")</f>
        <v>❌</v>
      </c>
      <c r="F913" s="23" t="str">
        <f>IFERROR(VLOOKUP(G913, 'Padronização'!A:C, 3, FALSE), "")</f>
        <v>Não aborda cenário de crise ou desastre</v>
      </c>
      <c r="G913" s="23" t="s">
        <v>31</v>
      </c>
      <c r="H913" s="33"/>
    </row>
    <row r="914" ht="22.5" hidden="1" customHeight="1">
      <c r="A914" s="4" t="s">
        <v>30</v>
      </c>
      <c r="B914" s="4">
        <v>2020.0</v>
      </c>
      <c r="C914" s="4" t="s">
        <v>87</v>
      </c>
      <c r="D914" s="4" t="s">
        <v>1136</v>
      </c>
      <c r="E914" s="4" t="str">
        <f>IFERROR(VLOOKUP(G914, 'Padronização'!A:C, 2, FALSE), "")</f>
        <v>❌</v>
      </c>
      <c r="F914" s="23" t="str">
        <f>IFERROR(VLOOKUP(G914, 'Padronização'!A:C, 3, FALSE), "")</f>
        <v>Transporte / tráfego em operação normal</v>
      </c>
      <c r="G914" s="23" t="s">
        <v>19</v>
      </c>
      <c r="H914" s="33"/>
    </row>
    <row r="915" ht="22.5" hidden="1" customHeight="1">
      <c r="A915" s="4" t="s">
        <v>823</v>
      </c>
      <c r="B915" s="4">
        <v>2026.0</v>
      </c>
      <c r="C915" s="4" t="s">
        <v>87</v>
      </c>
      <c r="D915" s="4" t="s">
        <v>1137</v>
      </c>
      <c r="E915" s="4" t="str">
        <f>IFERROR(VLOOKUP(G915, 'Padronização'!A:C, 2, FALSE), "")</f>
        <v>⚠️</v>
      </c>
      <c r="F915" s="23" t="str">
        <f>IFERROR(VLOOKUP(G915, 'Padronização'!A:C, 3, FALSE), "")</f>
        <v>Crise explícita com foco em infraestrutura</v>
      </c>
      <c r="G915" s="23" t="s">
        <v>40</v>
      </c>
      <c r="H915" s="33"/>
    </row>
    <row r="916" ht="22.5" hidden="1" customHeight="1">
      <c r="A916" s="4" t="s">
        <v>823</v>
      </c>
      <c r="B916" s="4">
        <v>2026.0</v>
      </c>
      <c r="C916" s="4" t="s">
        <v>87</v>
      </c>
      <c r="D916" s="4" t="s">
        <v>1138</v>
      </c>
      <c r="E916" s="4" t="str">
        <f>IFERROR(VLOOKUP(G916, 'Padronização'!A:C, 2, FALSE), "")</f>
        <v>⚠️</v>
      </c>
      <c r="F916" s="23" t="str">
        <f>IFERROR(VLOOKUP(G916, 'Padronização'!A:C, 3, FALSE), "")</f>
        <v>Crise explícita com foco em infraestrutura</v>
      </c>
      <c r="G916" s="23" t="s">
        <v>40</v>
      </c>
      <c r="H916" s="33"/>
    </row>
    <row r="917" ht="22.5" hidden="1" customHeight="1">
      <c r="A917" s="4" t="s">
        <v>823</v>
      </c>
      <c r="B917" s="4">
        <v>2026.0</v>
      </c>
      <c r="C917" s="4" t="s">
        <v>87</v>
      </c>
      <c r="D917" s="4" t="s">
        <v>1139</v>
      </c>
      <c r="E917" s="4" t="str">
        <f>IFERROR(VLOOKUP(G917, 'Padronização'!A:C, 2, FALSE), "")</f>
        <v>❌</v>
      </c>
      <c r="F917" s="23" t="str">
        <f>IFERROR(VLOOKUP(G917, 'Padronização'!A:C, 3, FALSE), "")</f>
        <v>Energia, grid, V2G; crise tratada como operação técnica</v>
      </c>
      <c r="G917" s="23" t="s">
        <v>12</v>
      </c>
      <c r="H917" s="33"/>
    </row>
    <row r="918" ht="22.5" customHeight="1">
      <c r="A918" s="4" t="s">
        <v>823</v>
      </c>
      <c r="B918" s="4">
        <v>2026.0</v>
      </c>
      <c r="C918" s="4" t="s">
        <v>87</v>
      </c>
      <c r="D918" s="4" t="s">
        <v>824</v>
      </c>
      <c r="E918" s="4" t="str">
        <f>IFERROR(VLOOKUP(G918, 'Padronização'!A:C, 2, FALSE), "")</f>
        <v>✅</v>
      </c>
      <c r="F918" s="23" t="str">
        <f>IFERROR(VLOOKUP(G918, 'Padronização'!A:C, 3, FALSE), "")</f>
        <v>Resposta humana a alertas e decisões</v>
      </c>
      <c r="G918" s="23" t="s">
        <v>50</v>
      </c>
      <c r="H918" s="33"/>
    </row>
    <row r="919" ht="22.5" hidden="1" customHeight="1">
      <c r="A919" s="4" t="s">
        <v>823</v>
      </c>
      <c r="B919" s="4">
        <v>2026.0</v>
      </c>
      <c r="C919" s="4" t="s">
        <v>87</v>
      </c>
      <c r="D919" s="4" t="s">
        <v>1140</v>
      </c>
      <c r="E919" s="4" t="str">
        <f>IFERROR(VLOOKUP(G919, 'Padronização'!A:C, 2, FALSE), "")</f>
        <v>❌</v>
      </c>
      <c r="F919" s="23" t="str">
        <f>IFERROR(VLOOKUP(G919, 'Padronização'!A:C, 3, FALSE), "")</f>
        <v>Algoritmo técnico / MAS sem humano / otimização </v>
      </c>
      <c r="G919" s="23" t="s">
        <v>15</v>
      </c>
      <c r="H919" s="33"/>
    </row>
    <row r="920" ht="22.5" customHeight="1">
      <c r="A920" s="4" t="s">
        <v>823</v>
      </c>
      <c r="B920" s="4">
        <v>2026.0</v>
      </c>
      <c r="C920" s="4" t="s">
        <v>87</v>
      </c>
      <c r="D920" s="4" t="s">
        <v>827</v>
      </c>
      <c r="E920" s="4" t="str">
        <f>IFERROR(VLOOKUP(G920, 'Padronização'!A:C, 2, FALSE), "")</f>
        <v>✅</v>
      </c>
      <c r="F920" s="23" t="str">
        <f>IFERROR(VLOOKUP(G920, 'Padronização'!A:C, 3, FALSE), "")</f>
        <v>ABM/MAS focado em comportamento humano cognitivo</v>
      </c>
      <c r="G920" s="23" t="s">
        <v>47</v>
      </c>
      <c r="H920" s="33"/>
    </row>
    <row r="921" ht="22.5" hidden="1" customHeight="1">
      <c r="A921" s="4" t="s">
        <v>823</v>
      </c>
      <c r="B921" s="4">
        <v>2026.0</v>
      </c>
      <c r="C921" s="4" t="s">
        <v>87</v>
      </c>
      <c r="D921" s="4" t="s">
        <v>1141</v>
      </c>
      <c r="E921" s="4" t="str">
        <f>IFERROR(VLOOKUP(G921, 'Padronização'!A:C, 2, FALSE), "")</f>
        <v>⚠️</v>
      </c>
      <c r="F921" s="23" t="str">
        <f>IFERROR(VLOOKUP(G921, 'Padronização'!A:C, 3, FALSE), "")</f>
        <v>Crise explícita com foco em infraestrutura</v>
      </c>
      <c r="G921" s="23" t="s">
        <v>40</v>
      </c>
      <c r="H921" s="33"/>
    </row>
    <row r="922" ht="22.5" hidden="1" customHeight="1">
      <c r="A922" s="4" t="s">
        <v>823</v>
      </c>
      <c r="B922" s="4">
        <v>2026.0</v>
      </c>
      <c r="C922" s="4" t="s">
        <v>87</v>
      </c>
      <c r="D922" s="4" t="s">
        <v>1142</v>
      </c>
      <c r="E922" s="4" t="str">
        <f>IFERROR(VLOOKUP(G922, 'Padronização'!A:C, 2, FALSE), "")</f>
        <v>⚠️</v>
      </c>
      <c r="F922" s="23" t="str">
        <f>IFERROR(VLOOKUP(G922, 'Padronização'!A:C, 3, FALSE), "")</f>
        <v>Crise explícita com foco em infraestrutura</v>
      </c>
      <c r="G922" s="23" t="s">
        <v>40</v>
      </c>
      <c r="H922" s="33"/>
    </row>
    <row r="923" ht="22.5" hidden="1" customHeight="1">
      <c r="A923" s="4" t="s">
        <v>823</v>
      </c>
      <c r="B923" s="4">
        <v>2026.0</v>
      </c>
      <c r="C923" s="4" t="s">
        <v>87</v>
      </c>
      <c r="D923" s="4" t="s">
        <v>1143</v>
      </c>
      <c r="E923" s="4" t="str">
        <f>IFERROR(VLOOKUP(G923, 'Padronização'!A:C, 2, FALSE), "")</f>
        <v>⚠️</v>
      </c>
      <c r="F923" s="23" t="str">
        <f>IFERROR(VLOOKUP(G923, 'Padronização'!A:C, 3, FALSE), "")</f>
        <v>Emergência com evacuação específica</v>
      </c>
      <c r="G923" s="23" t="s">
        <v>57</v>
      </c>
      <c r="H923" s="33"/>
    </row>
    <row r="924" ht="22.5" hidden="1" customHeight="1">
      <c r="A924" s="4" t="s">
        <v>823</v>
      </c>
      <c r="B924" s="4">
        <v>2026.0</v>
      </c>
      <c r="C924" s="4" t="s">
        <v>33</v>
      </c>
      <c r="D924" s="4" t="s">
        <v>1144</v>
      </c>
      <c r="E924" s="4" t="str">
        <f>IFERROR(VLOOKUP(G924, 'Padronização'!A:C, 2, FALSE), "")</f>
        <v>❌</v>
      </c>
      <c r="F924" s="23" t="str">
        <f>IFERROR(VLOOKUP(G924, 'Padronização'!A:C, 3, FALSE), "")</f>
        <v>Algoritmo técnico / MAS sem humano / otimização </v>
      </c>
      <c r="G924" s="23" t="s">
        <v>15</v>
      </c>
      <c r="H924" s="33"/>
    </row>
    <row r="925" ht="22.5" hidden="1" customHeight="1">
      <c r="A925" s="4" t="s">
        <v>823</v>
      </c>
      <c r="B925" s="4">
        <v>2026.0</v>
      </c>
      <c r="C925" s="4" t="s">
        <v>33</v>
      </c>
      <c r="D925" s="4" t="s">
        <v>274</v>
      </c>
      <c r="E925" s="4" t="str">
        <f>IFERROR(VLOOKUP(G925, 'Padronização'!A:C, 2, FALSE), "")</f>
        <v>❌</v>
      </c>
      <c r="F925" s="23" t="str">
        <f>IFERROR(VLOOKUP(G925, 'Padronização'!A:C, 3, FALSE), "")</f>
        <v>Artigo metodológico genérico (framework, design, how-to)</v>
      </c>
      <c r="G925" s="23" t="s">
        <v>27</v>
      </c>
      <c r="H925" s="23" t="s">
        <v>302</v>
      </c>
    </row>
    <row r="926" ht="22.5" customHeight="1">
      <c r="A926" s="4" t="s">
        <v>823</v>
      </c>
      <c r="B926" s="4">
        <v>2025.0</v>
      </c>
      <c r="C926" s="4" t="s">
        <v>87</v>
      </c>
      <c r="D926" s="4" t="s">
        <v>829</v>
      </c>
      <c r="E926" s="4" t="str">
        <f>IFERROR(VLOOKUP(G926, 'Padronização'!A:C, 2, FALSE), "")</f>
        <v>✅</v>
      </c>
      <c r="F926" s="23" t="str">
        <f>IFERROR(VLOOKUP(G926, 'Padronização'!A:C, 3, FALSE), "")</f>
        <v>ABM/MAS aplicado à evacuação</v>
      </c>
      <c r="G926" s="23" t="s">
        <v>45</v>
      </c>
      <c r="H926" s="33"/>
    </row>
    <row r="927" ht="22.5" hidden="1" customHeight="1">
      <c r="A927" s="4" t="s">
        <v>823</v>
      </c>
      <c r="B927" s="4">
        <v>2025.0</v>
      </c>
      <c r="C927" s="4" t="s">
        <v>87</v>
      </c>
      <c r="D927" s="4" t="s">
        <v>1145</v>
      </c>
      <c r="E927" s="4" t="str">
        <f>IFERROR(VLOOKUP(G927, 'Padronização'!A:C, 2, FALSE), "")</f>
        <v>⚠️</v>
      </c>
      <c r="F927" s="23" t="str">
        <f>IFERROR(VLOOKUP(G927, 'Padronização'!A:C, 3, FALSE), "")</f>
        <v>Crise explícita com foco em infraestrutura</v>
      </c>
      <c r="G927" s="23" t="s">
        <v>40</v>
      </c>
      <c r="H927" s="33"/>
    </row>
    <row r="928" ht="22.5" hidden="1" customHeight="1">
      <c r="A928" s="4" t="s">
        <v>823</v>
      </c>
      <c r="B928" s="4">
        <v>2025.0</v>
      </c>
      <c r="C928" s="4" t="s">
        <v>87</v>
      </c>
      <c r="D928" s="4" t="s">
        <v>1146</v>
      </c>
      <c r="E928" s="4" t="str">
        <f>IFERROR(VLOOKUP(G928, 'Padronização'!A:C, 2, FALSE), "")</f>
        <v>⚠️</v>
      </c>
      <c r="F928" s="23" t="str">
        <f>IFERROR(VLOOKUP(G928, 'Padronização'!A:C, 3, FALSE), "")</f>
        <v>Emergência com evacuação específica</v>
      </c>
      <c r="G928" s="23" t="s">
        <v>57</v>
      </c>
      <c r="H928" s="33"/>
    </row>
    <row r="929" ht="22.5" hidden="1" customHeight="1">
      <c r="A929" s="4" t="s">
        <v>823</v>
      </c>
      <c r="B929" s="4">
        <v>2025.0</v>
      </c>
      <c r="C929" s="4" t="s">
        <v>87</v>
      </c>
      <c r="D929" s="4" t="s">
        <v>1147</v>
      </c>
      <c r="E929" s="4" t="str">
        <f>IFERROR(VLOOKUP(G929, 'Padronização'!A:C, 2, FALSE), "")</f>
        <v>❌</v>
      </c>
      <c r="F929" s="23" t="str">
        <f>IFERROR(VLOOKUP(G929, 'Padronização'!A:C, 3, FALSE), "")</f>
        <v>Emergência em saúde com foco operacional / Operação hospitalar</v>
      </c>
      <c r="G929" s="23" t="s">
        <v>38</v>
      </c>
      <c r="H929" s="33"/>
    </row>
    <row r="930" ht="22.5" hidden="1" customHeight="1">
      <c r="A930" s="4" t="s">
        <v>823</v>
      </c>
      <c r="B930" s="4">
        <v>2025.0</v>
      </c>
      <c r="C930" s="4" t="s">
        <v>87</v>
      </c>
      <c r="D930" s="4" t="s">
        <v>1148</v>
      </c>
      <c r="E930" s="4" t="str">
        <f>IFERROR(VLOOKUP(G930, 'Padronização'!A:C, 2, FALSE), "")</f>
        <v>❌</v>
      </c>
      <c r="F930" s="23" t="str">
        <f>IFERROR(VLOOKUP(G930, 'Padronização'!A:C, 3, FALSE), "")</f>
        <v>Algoritmo técnico / MAS sem humano / otimização </v>
      </c>
      <c r="G930" s="23" t="s">
        <v>15</v>
      </c>
      <c r="H930" s="33"/>
    </row>
    <row r="931" ht="22.5" customHeight="1">
      <c r="A931" s="4" t="s">
        <v>823</v>
      </c>
      <c r="B931" s="4">
        <v>2025.0</v>
      </c>
      <c r="C931" s="4" t="s">
        <v>87</v>
      </c>
      <c r="D931" s="4" t="s">
        <v>832</v>
      </c>
      <c r="E931" s="4" t="str">
        <f>IFERROR(VLOOKUP(G931, 'Padronização'!A:C, 2, FALSE), "")</f>
        <v>✅</v>
      </c>
      <c r="F931" s="23" t="str">
        <f>IFERROR(VLOOKUP(G931, 'Padronização'!A:C, 3, FALSE), "")</f>
        <v>ABM/MAS aplicado à evacuação</v>
      </c>
      <c r="G931" s="23" t="s">
        <v>45</v>
      </c>
      <c r="H931" s="33"/>
    </row>
    <row r="932" ht="22.5" hidden="1" customHeight="1">
      <c r="A932" s="4" t="s">
        <v>823</v>
      </c>
      <c r="B932" s="4">
        <v>2025.0</v>
      </c>
      <c r="C932" s="4" t="s">
        <v>87</v>
      </c>
      <c r="D932" s="4" t="s">
        <v>1149</v>
      </c>
      <c r="E932" s="4" t="str">
        <f>IFERROR(VLOOKUP(G932, 'Padronização'!A:C, 2, FALSE), "")</f>
        <v>⚠️</v>
      </c>
      <c r="F932" s="23" t="str">
        <f>IFERROR(VLOOKUP(G932, 'Padronização'!A:C, 3, FALSE), "")</f>
        <v>Crise explícita com foco em infraestrutura</v>
      </c>
      <c r="G932" s="23" t="s">
        <v>40</v>
      </c>
      <c r="H932" s="33"/>
    </row>
    <row r="933" ht="22.5" hidden="1" customHeight="1">
      <c r="A933" s="4" t="s">
        <v>823</v>
      </c>
      <c r="B933" s="4">
        <v>2025.0</v>
      </c>
      <c r="C933" s="4" t="s">
        <v>87</v>
      </c>
      <c r="D933" s="4" t="s">
        <v>1150</v>
      </c>
      <c r="E933" s="4" t="str">
        <f>IFERROR(VLOOKUP(G933, 'Padronização'!A:C, 2, FALSE), "")</f>
        <v>❌</v>
      </c>
      <c r="F933" s="23" t="str">
        <f>IFERROR(VLOOKUP(G933, 'Padronização'!A:C, 3, FALSE), "")</f>
        <v>Energia, grid, V2G; crise tratada como operação técnica</v>
      </c>
      <c r="G933" s="23" t="s">
        <v>12</v>
      </c>
      <c r="H933" s="33"/>
    </row>
    <row r="934" ht="22.5" hidden="1" customHeight="1">
      <c r="A934" s="4" t="s">
        <v>823</v>
      </c>
      <c r="B934" s="4">
        <v>2025.0</v>
      </c>
      <c r="C934" s="4" t="s">
        <v>87</v>
      </c>
      <c r="D934" s="36" t="s">
        <v>1151</v>
      </c>
      <c r="E934" s="4" t="str">
        <f>IFERROR(VLOOKUP(G934, 'Padronização'!A:C, 2, FALSE), "")</f>
        <v>❌</v>
      </c>
      <c r="F934" s="23" t="str">
        <f>IFERROR(VLOOKUP(G934, 'Padronização'!A:C, 3, FALSE), "")</f>
        <v>Emergência em saúde com foco operacional / Operação hospitalar</v>
      </c>
      <c r="G934" s="23" t="s">
        <v>38</v>
      </c>
      <c r="H934" s="33"/>
    </row>
    <row r="935" ht="22.5" hidden="1" customHeight="1">
      <c r="A935" s="4" t="s">
        <v>823</v>
      </c>
      <c r="B935" s="4">
        <v>2025.0</v>
      </c>
      <c r="C935" s="4" t="s">
        <v>87</v>
      </c>
      <c r="D935" s="4" t="s">
        <v>1152</v>
      </c>
      <c r="E935" s="4" t="str">
        <f>IFERROR(VLOOKUP(G935, 'Padronização'!A:C, 2, FALSE), "")</f>
        <v>⚠️</v>
      </c>
      <c r="F935" s="23" t="str">
        <f>IFERROR(VLOOKUP(G935, 'Padronização'!A:C, 3, FALSE), "")</f>
        <v>Crise explícita com foco em infraestrutura</v>
      </c>
      <c r="G935" s="23" t="s">
        <v>40</v>
      </c>
      <c r="H935" s="33"/>
    </row>
    <row r="936" ht="22.5" customHeight="1">
      <c r="A936" s="4" t="s">
        <v>823</v>
      </c>
      <c r="B936" s="4">
        <v>2025.0</v>
      </c>
      <c r="C936" s="4" t="s">
        <v>87</v>
      </c>
      <c r="D936" s="4" t="s">
        <v>835</v>
      </c>
      <c r="E936" s="4" t="str">
        <f>IFERROR(VLOOKUP(G936, 'Padronização'!A:C, 2, FALSE), "")</f>
        <v>✅</v>
      </c>
      <c r="F936" s="23" t="str">
        <f>IFERROR(VLOOKUP(G936, 'Padronização'!A:C, 3, FALSE), "")</f>
        <v>ABM/MAS aplicado à evacuação</v>
      </c>
      <c r="G936" s="23" t="s">
        <v>45</v>
      </c>
      <c r="H936" s="33"/>
    </row>
    <row r="937" ht="22.5" hidden="1" customHeight="1">
      <c r="A937" s="4" t="s">
        <v>823</v>
      </c>
      <c r="B937" s="4">
        <v>2025.0</v>
      </c>
      <c r="C937" s="4" t="s">
        <v>87</v>
      </c>
      <c r="D937" s="4" t="s">
        <v>1153</v>
      </c>
      <c r="E937" s="4" t="str">
        <f>IFERROR(VLOOKUP(G937, 'Padronização'!A:C, 2, FALSE), "")</f>
        <v>❌</v>
      </c>
      <c r="F937" s="23" t="str">
        <f>IFERROR(VLOOKUP(G937, 'Padronização'!A:C, 3, FALSE), "")</f>
        <v>Supply chain / impacto econômico indireto</v>
      </c>
      <c r="G937" s="23" t="s">
        <v>34</v>
      </c>
      <c r="H937" s="33"/>
    </row>
    <row r="938" ht="22.5" hidden="1" customHeight="1">
      <c r="A938" s="4" t="s">
        <v>823</v>
      </c>
      <c r="B938" s="4">
        <v>2025.0</v>
      </c>
      <c r="C938" s="4" t="s">
        <v>87</v>
      </c>
      <c r="D938" s="4" t="s">
        <v>1154</v>
      </c>
      <c r="E938" s="4" t="str">
        <f>IFERROR(VLOOKUP(G938, 'Padronização'!A:C, 2, FALSE), "")</f>
        <v>❌</v>
      </c>
      <c r="F938" s="23" t="str">
        <f>IFERROR(VLOOKUP(G938, 'Padronização'!A:C, 3, FALSE), "")</f>
        <v>Emergência em saúde com foco operacional / Operação hospitalar</v>
      </c>
      <c r="G938" s="23" t="s">
        <v>38</v>
      </c>
      <c r="H938" s="33"/>
    </row>
    <row r="939" ht="22.5" hidden="1" customHeight="1">
      <c r="A939" s="4" t="s">
        <v>823</v>
      </c>
      <c r="B939" s="4">
        <v>2025.0</v>
      </c>
      <c r="C939" s="4" t="s">
        <v>87</v>
      </c>
      <c r="D939" s="4" t="s">
        <v>1155</v>
      </c>
      <c r="E939" s="4" t="str">
        <f>IFERROR(VLOOKUP(G939, 'Padronização'!A:C, 2, FALSE), "")</f>
        <v>❌</v>
      </c>
      <c r="F939" s="23" t="str">
        <f>IFERROR(VLOOKUP(G939, 'Padronização'!A:C, 3, FALSE), "")</f>
        <v>Emergência em saúde com foco operacional / Operação hospitalar</v>
      </c>
      <c r="G939" s="23" t="s">
        <v>38</v>
      </c>
      <c r="H939" s="33"/>
    </row>
    <row r="940" ht="22.5" hidden="1" customHeight="1">
      <c r="A940" s="4" t="s">
        <v>823</v>
      </c>
      <c r="B940" s="4">
        <v>2025.0</v>
      </c>
      <c r="C940" s="4" t="s">
        <v>87</v>
      </c>
      <c r="D940" s="4" t="s">
        <v>1156</v>
      </c>
      <c r="E940" s="4" t="str">
        <f>IFERROR(VLOOKUP(G940, 'Padronização'!A:C, 2, FALSE), "")</f>
        <v>⚠️</v>
      </c>
      <c r="F940" s="23" t="str">
        <f>IFERROR(VLOOKUP(G940, 'Padronização'!A:C, 3, FALSE), "")</f>
        <v>Emergência sem evacuação clara</v>
      </c>
      <c r="G940" s="23" t="s">
        <v>43</v>
      </c>
      <c r="H940" s="33"/>
    </row>
    <row r="941" ht="22.5" hidden="1" customHeight="1">
      <c r="A941" s="4" t="s">
        <v>823</v>
      </c>
      <c r="B941" s="4">
        <v>2025.0</v>
      </c>
      <c r="C941" s="4" t="s">
        <v>87</v>
      </c>
      <c r="D941" s="22" t="s">
        <v>1157</v>
      </c>
      <c r="E941" s="4" t="str">
        <f>IFERROR(VLOOKUP(G941, 'Padronização'!A:C, 2, FALSE), "")</f>
        <v>⚠️</v>
      </c>
      <c r="F941" s="23" t="str">
        <f>IFERROR(VLOOKUP(G941, 'Padronização'!A:C, 3, FALSE), "")</f>
        <v>Emergência sem evacuação clara</v>
      </c>
      <c r="G941" s="23" t="s">
        <v>43</v>
      </c>
      <c r="H941" s="33"/>
    </row>
    <row r="942" ht="22.5" hidden="1" customHeight="1">
      <c r="A942" s="4" t="s">
        <v>823</v>
      </c>
      <c r="B942" s="4">
        <v>2025.0</v>
      </c>
      <c r="C942" s="4" t="s">
        <v>87</v>
      </c>
      <c r="D942" s="4" t="s">
        <v>1158</v>
      </c>
      <c r="E942" s="4" t="str">
        <f>IFERROR(VLOOKUP(G942, 'Padronização'!A:C, 2, FALSE), "")</f>
        <v>❌</v>
      </c>
      <c r="F942" s="23" t="str">
        <f>IFERROR(VLOOKUP(G942, 'Padronização'!A:C, 3, FALSE), "")</f>
        <v>Não aborda cenário de crise ou desastre</v>
      </c>
      <c r="G942" s="23" t="s">
        <v>31</v>
      </c>
      <c r="H942" s="33"/>
    </row>
    <row r="943" ht="22.5" hidden="1" customHeight="1">
      <c r="A943" s="4" t="s">
        <v>823</v>
      </c>
      <c r="B943" s="4">
        <v>2025.0</v>
      </c>
      <c r="C943" s="4" t="s">
        <v>87</v>
      </c>
      <c r="D943" s="4" t="s">
        <v>1159</v>
      </c>
      <c r="E943" s="4" t="str">
        <f>IFERROR(VLOOKUP(G943, 'Padronização'!A:C, 2, FALSE), "")</f>
        <v>⚠️</v>
      </c>
      <c r="F943" s="23" t="str">
        <f>IFERROR(VLOOKUP(G943, 'Padronização'!A:C, 3, FALSE), "")</f>
        <v>Emergência com evacuação específica</v>
      </c>
      <c r="G943" s="23" t="s">
        <v>57</v>
      </c>
      <c r="H943" s="33"/>
    </row>
    <row r="944" ht="22.5" hidden="1" customHeight="1">
      <c r="A944" s="4" t="s">
        <v>823</v>
      </c>
      <c r="B944" s="4">
        <v>2025.0</v>
      </c>
      <c r="C944" s="4" t="s">
        <v>87</v>
      </c>
      <c r="D944" s="4" t="s">
        <v>1160</v>
      </c>
      <c r="E944" s="4" t="str">
        <f>IFERROR(VLOOKUP(G944, 'Padronização'!A:C, 2, FALSE), "")</f>
        <v>❌</v>
      </c>
      <c r="F944" s="23" t="str">
        <f>IFERROR(VLOOKUP(G944, 'Padronização'!A:C, 3, FALSE), "")</f>
        <v>Supply chain / impacto econômico indireto</v>
      </c>
      <c r="G944" s="23" t="s">
        <v>34</v>
      </c>
      <c r="H944" s="33"/>
    </row>
    <row r="945" ht="22.5" hidden="1" customHeight="1">
      <c r="A945" s="4" t="s">
        <v>823</v>
      </c>
      <c r="B945" s="4">
        <v>2025.0</v>
      </c>
      <c r="C945" s="4" t="s">
        <v>87</v>
      </c>
      <c r="D945" s="4" t="s">
        <v>1161</v>
      </c>
      <c r="E945" s="4" t="str">
        <f>IFERROR(VLOOKUP(G945, 'Padronização'!A:C, 2, FALSE), "")</f>
        <v>❌</v>
      </c>
      <c r="F945" s="23" t="str">
        <f>IFERROR(VLOOKUP(G945, 'Padronização'!A:C, 3, FALSE), "")</f>
        <v>Artigo metodológico genérico (framework, design, how-to)</v>
      </c>
      <c r="G945" s="23" t="s">
        <v>27</v>
      </c>
      <c r="H945" s="33"/>
    </row>
    <row r="946" ht="22.5" customHeight="1">
      <c r="A946" s="4" t="s">
        <v>823</v>
      </c>
      <c r="B946" s="4">
        <v>2025.0</v>
      </c>
      <c r="C946" s="4" t="s">
        <v>87</v>
      </c>
      <c r="D946" s="4" t="s">
        <v>837</v>
      </c>
      <c r="E946" s="4" t="str">
        <f>IFERROR(VLOOKUP(G946, 'Padronização'!A:C, 2, FALSE), "")</f>
        <v>✅</v>
      </c>
      <c r="F946" s="23" t="str">
        <f>IFERROR(VLOOKUP(G946, 'Padronização'!A:C, 3, FALSE), "")</f>
        <v>ABM/MAS aplicado à evacuação</v>
      </c>
      <c r="G946" s="23" t="s">
        <v>45</v>
      </c>
      <c r="H946" s="33"/>
    </row>
    <row r="947" ht="22.5" customHeight="1">
      <c r="A947" s="4" t="s">
        <v>823</v>
      </c>
      <c r="B947" s="4">
        <v>2025.0</v>
      </c>
      <c r="C947" s="4" t="s">
        <v>87</v>
      </c>
      <c r="D947" s="4" t="s">
        <v>841</v>
      </c>
      <c r="E947" s="4" t="str">
        <f>IFERROR(VLOOKUP(G947, 'Padronização'!A:C, 2, FALSE), "")</f>
        <v>✅</v>
      </c>
      <c r="F947" s="23" t="str">
        <f>IFERROR(VLOOKUP(G947, 'Padronização'!A:C, 3, FALSE), "")</f>
        <v>ABM/MAS focado em comportamento humano cognitivo</v>
      </c>
      <c r="G947" s="23" t="s">
        <v>47</v>
      </c>
      <c r="H947" s="33"/>
    </row>
    <row r="948" ht="22.5" hidden="1" customHeight="1">
      <c r="A948" s="4" t="s">
        <v>823</v>
      </c>
      <c r="B948" s="4">
        <v>2025.0</v>
      </c>
      <c r="C948" s="4" t="s">
        <v>87</v>
      </c>
      <c r="D948" s="4" t="s">
        <v>1162</v>
      </c>
      <c r="E948" s="4" t="str">
        <f>IFERROR(VLOOKUP(G948, 'Padronização'!A:C, 2, FALSE), "")</f>
        <v>❌</v>
      </c>
      <c r="F948" s="23" t="str">
        <f>IFERROR(VLOOKUP(G948, 'Padronização'!A:C, 3, FALSE), "")</f>
        <v>Energia, grid, V2G; crise tratada como operação técnica</v>
      </c>
      <c r="G948" s="23" t="s">
        <v>12</v>
      </c>
      <c r="H948" s="33"/>
    </row>
    <row r="949" ht="22.5" hidden="1" customHeight="1">
      <c r="A949" s="4" t="s">
        <v>823</v>
      </c>
      <c r="B949" s="4">
        <v>2025.0</v>
      </c>
      <c r="C949" s="4" t="s">
        <v>87</v>
      </c>
      <c r="D949" s="4" t="s">
        <v>311</v>
      </c>
      <c r="E949" s="4" t="str">
        <f>IFERROR(VLOOKUP(G949, 'Padronização'!A:C, 2, FALSE), "")</f>
        <v>❌</v>
      </c>
      <c r="F949" s="23" t="str">
        <f>IFERROR(VLOOKUP(G949, 'Padronização'!A:C, 3, FALSE), "")</f>
        <v>Não aborda cenário de crise ou desastre</v>
      </c>
      <c r="G949" s="23" t="s">
        <v>31</v>
      </c>
      <c r="H949" s="23" t="s">
        <v>302</v>
      </c>
    </row>
    <row r="950" ht="22.5" hidden="1" customHeight="1">
      <c r="A950" s="4" t="s">
        <v>823</v>
      </c>
      <c r="B950" s="4">
        <v>2025.0</v>
      </c>
      <c r="C950" s="4" t="s">
        <v>87</v>
      </c>
      <c r="D950" s="4" t="s">
        <v>1163</v>
      </c>
      <c r="E950" s="4" t="str">
        <f>IFERROR(VLOOKUP(G950, 'Padronização'!A:C, 2, FALSE), "")</f>
        <v>❌</v>
      </c>
      <c r="F950" s="23" t="str">
        <f>IFERROR(VLOOKUP(G950, 'Padronização'!A:C, 3, FALSE), "")</f>
        <v>Não aborda cenário de crise ou desastre</v>
      </c>
      <c r="G950" s="23" t="s">
        <v>31</v>
      </c>
      <c r="H950" s="33"/>
    </row>
    <row r="951" ht="22.5" hidden="1" customHeight="1">
      <c r="A951" s="4" t="s">
        <v>823</v>
      </c>
      <c r="B951" s="4">
        <v>2025.0</v>
      </c>
      <c r="C951" s="4" t="s">
        <v>87</v>
      </c>
      <c r="D951" s="4" t="s">
        <v>1164</v>
      </c>
      <c r="E951" s="4" t="str">
        <f>IFERROR(VLOOKUP(G951, 'Padronização'!A:C, 2, FALSE), "")</f>
        <v>❌</v>
      </c>
      <c r="F951" s="23" t="str">
        <f>IFERROR(VLOOKUP(G951, 'Padronização'!A:C, 3, FALSE), "")</f>
        <v>Artigo metodológico genérico (framework, design, how-to)</v>
      </c>
      <c r="G951" s="23" t="s">
        <v>27</v>
      </c>
      <c r="H951" s="33"/>
    </row>
    <row r="952" ht="22.5" hidden="1" customHeight="1">
      <c r="A952" s="4" t="s">
        <v>823</v>
      </c>
      <c r="B952" s="4">
        <v>2025.0</v>
      </c>
      <c r="C952" s="4" t="s">
        <v>87</v>
      </c>
      <c r="D952" s="4" t="s">
        <v>1165</v>
      </c>
      <c r="E952" s="4" t="str">
        <f>IFERROR(VLOOKUP(G952, 'Padronização'!A:C, 2, FALSE), "")</f>
        <v>❌</v>
      </c>
      <c r="F952" s="23" t="str">
        <f>IFERROR(VLOOKUP(G952, 'Padronização'!A:C, 3, FALSE), "")</f>
        <v>Supply chain / impacto econômico indireto</v>
      </c>
      <c r="G952" s="23" t="s">
        <v>34</v>
      </c>
      <c r="H952" s="23" t="s">
        <v>302</v>
      </c>
    </row>
    <row r="953" ht="22.5" hidden="1" customHeight="1">
      <c r="A953" s="4" t="s">
        <v>823</v>
      </c>
      <c r="B953" s="4">
        <v>2025.0</v>
      </c>
      <c r="C953" s="4" t="s">
        <v>87</v>
      </c>
      <c r="D953" s="4" t="s">
        <v>1166</v>
      </c>
      <c r="E953" s="4" t="str">
        <f>IFERROR(VLOOKUP(G953, 'Padronização'!A:C, 2, FALSE), "")</f>
        <v>⚠️</v>
      </c>
      <c r="F953" s="23" t="str">
        <f>IFERROR(VLOOKUP(G953, 'Padronização'!A:C, 3, FALSE), "")</f>
        <v>Emergência sem evacuação clara</v>
      </c>
      <c r="G953" s="23" t="s">
        <v>43</v>
      </c>
      <c r="H953" s="23" t="s">
        <v>302</v>
      </c>
    </row>
    <row r="954" ht="22.5" hidden="1" customHeight="1">
      <c r="A954" s="4" t="s">
        <v>823</v>
      </c>
      <c r="B954" s="4">
        <v>2025.0</v>
      </c>
      <c r="C954" s="4" t="s">
        <v>87</v>
      </c>
      <c r="D954" s="4" t="s">
        <v>260</v>
      </c>
      <c r="E954" s="4" t="str">
        <f>IFERROR(VLOOKUP(G954, 'Padronização'!A:C, 2, FALSE), "")</f>
        <v>✅</v>
      </c>
      <c r="F954" s="23" t="str">
        <f>IFERROR(VLOOKUP(G954, 'Padronização'!A:C, 3, FALSE), "")</f>
        <v>ABM/MAS focado em comportamento humano cognitivo</v>
      </c>
      <c r="G954" s="23" t="s">
        <v>47</v>
      </c>
      <c r="H954" s="23" t="s">
        <v>302</v>
      </c>
    </row>
    <row r="955" ht="22.5" hidden="1" customHeight="1">
      <c r="A955" s="4" t="s">
        <v>823</v>
      </c>
      <c r="B955" s="4">
        <v>2025.0</v>
      </c>
      <c r="C955" s="4" t="s">
        <v>87</v>
      </c>
      <c r="D955" s="4" t="s">
        <v>1167</v>
      </c>
      <c r="E955" s="4" t="str">
        <f>IFERROR(VLOOKUP(G955, 'Padronização'!A:C, 2, FALSE), "")</f>
        <v>❌</v>
      </c>
      <c r="F955" s="23" t="str">
        <f>IFERROR(VLOOKUP(G955, 'Padronização'!A:C, 3, FALSE), "")</f>
        <v>Transporte / tráfego em operação normal</v>
      </c>
      <c r="G955" s="23" t="s">
        <v>19</v>
      </c>
      <c r="H955" s="33"/>
    </row>
    <row r="956" ht="22.5" hidden="1" customHeight="1">
      <c r="A956" s="4" t="s">
        <v>823</v>
      </c>
      <c r="B956" s="4">
        <v>2025.0</v>
      </c>
      <c r="C956" s="4" t="s">
        <v>87</v>
      </c>
      <c r="D956" s="4" t="s">
        <v>1168</v>
      </c>
      <c r="E956" s="4" t="str">
        <f>IFERROR(VLOOKUP(G956, 'Padronização'!A:C, 2, FALSE), "")</f>
        <v>❌</v>
      </c>
      <c r="F956" s="23" t="str">
        <f>IFERROR(VLOOKUP(G956, 'Padronização'!A:C, 3, FALSE), "")</f>
        <v>Artigo metodológico genérico (framework, design, how-to)</v>
      </c>
      <c r="G956" s="23" t="s">
        <v>27</v>
      </c>
      <c r="H956" s="33"/>
    </row>
    <row r="957" ht="22.5" customHeight="1">
      <c r="A957" s="4" t="s">
        <v>823</v>
      </c>
      <c r="B957" s="4">
        <v>2025.0</v>
      </c>
      <c r="C957" s="4" t="s">
        <v>87</v>
      </c>
      <c r="D957" s="4" t="s">
        <v>844</v>
      </c>
      <c r="E957" s="4" t="str">
        <f>IFERROR(VLOOKUP(G957, 'Padronização'!A:C, 2, FALSE), "")</f>
        <v>✅</v>
      </c>
      <c r="F957" s="23" t="str">
        <f>IFERROR(VLOOKUP(G957, 'Padronização'!A:C, 3, FALSE), "")</f>
        <v>ABM/MAS aplicado à evacuação</v>
      </c>
      <c r="G957" s="23" t="s">
        <v>45</v>
      </c>
      <c r="H957" s="33"/>
    </row>
    <row r="958" ht="22.5" hidden="1" customHeight="1">
      <c r="A958" s="4" t="s">
        <v>823</v>
      </c>
      <c r="B958" s="4">
        <v>2025.0</v>
      </c>
      <c r="C958" s="4" t="s">
        <v>87</v>
      </c>
      <c r="D958" s="4" t="s">
        <v>1169</v>
      </c>
      <c r="E958" s="4" t="str">
        <f>IFERROR(VLOOKUP(G958, 'Padronização'!A:C, 2, FALSE), "")</f>
        <v>❌</v>
      </c>
      <c r="F958" s="23" t="str">
        <f>IFERROR(VLOOKUP(G958, 'Padronização'!A:C, 3, FALSE), "")</f>
        <v>Não aborda cenário de crise ou desastre</v>
      </c>
      <c r="G958" s="23" t="s">
        <v>31</v>
      </c>
      <c r="H958" s="23" t="s">
        <v>302</v>
      </c>
    </row>
    <row r="959" ht="22.5" hidden="1" customHeight="1">
      <c r="A959" s="4" t="s">
        <v>823</v>
      </c>
      <c r="B959" s="4">
        <v>2025.0</v>
      </c>
      <c r="C959" s="4" t="s">
        <v>87</v>
      </c>
      <c r="D959" s="4" t="s">
        <v>300</v>
      </c>
      <c r="E959" s="4" t="str">
        <f>IFERROR(VLOOKUP(G959, 'Padronização'!A:C, 2, FALSE), "")</f>
        <v>❌</v>
      </c>
      <c r="F959" s="23" t="str">
        <f>IFERROR(VLOOKUP(G959, 'Padronização'!A:C, 3, FALSE), "")</f>
        <v>Emergência em saúde com foco operacional / Operação hospitalar</v>
      </c>
      <c r="G959" s="23" t="s">
        <v>38</v>
      </c>
      <c r="H959" s="23" t="s">
        <v>302</v>
      </c>
    </row>
    <row r="960" ht="22.5" hidden="1" customHeight="1">
      <c r="A960" s="4" t="s">
        <v>823</v>
      </c>
      <c r="B960" s="4">
        <v>2025.0</v>
      </c>
      <c r="C960" s="4" t="s">
        <v>87</v>
      </c>
      <c r="D960" s="4" t="s">
        <v>1170</v>
      </c>
      <c r="E960" s="4" t="str">
        <f>IFERROR(VLOOKUP(G960, 'Padronização'!A:C, 2, FALSE), "")</f>
        <v>✅</v>
      </c>
      <c r="F960" s="23" t="str">
        <f>IFERROR(VLOOKUP(G960, 'Padronização'!A:C, 3, FALSE), "")</f>
        <v>ABM/MAS aplicado à evacuação</v>
      </c>
      <c r="G960" s="23" t="s">
        <v>45</v>
      </c>
      <c r="H960" s="23" t="s">
        <v>302</v>
      </c>
    </row>
    <row r="961" ht="22.5" hidden="1" customHeight="1">
      <c r="A961" s="4" t="s">
        <v>823</v>
      </c>
      <c r="B961" s="4">
        <v>2025.0</v>
      </c>
      <c r="C961" s="4" t="s">
        <v>87</v>
      </c>
      <c r="D961" s="4" t="s">
        <v>1171</v>
      </c>
      <c r="E961" s="4" t="str">
        <f>IFERROR(VLOOKUP(G961, 'Padronização'!A:C, 2, FALSE), "")</f>
        <v>❌</v>
      </c>
      <c r="F961" s="23" t="str">
        <f>IFERROR(VLOOKUP(G961, 'Padronização'!A:C, 3, FALSE), "")</f>
        <v>Telecomunicações emergenciais / alocação de rede; foco técnico</v>
      </c>
      <c r="G961" s="23" t="s">
        <v>5</v>
      </c>
      <c r="H961" s="23" t="s">
        <v>302</v>
      </c>
    </row>
    <row r="962" ht="22.5" hidden="1" customHeight="1">
      <c r="A962" s="4" t="s">
        <v>823</v>
      </c>
      <c r="B962" s="4">
        <v>2025.0</v>
      </c>
      <c r="C962" s="4" t="s">
        <v>87</v>
      </c>
      <c r="D962" s="4" t="s">
        <v>1172</v>
      </c>
      <c r="E962" s="4" t="str">
        <f>IFERROR(VLOOKUP(G962, 'Padronização'!A:C, 2, FALSE), "")</f>
        <v>⚠️</v>
      </c>
      <c r="F962" s="23" t="str">
        <f>IFERROR(VLOOKUP(G962, 'Padronização'!A:C, 3, FALSE), "")</f>
        <v>Emergência sem evacuação clara</v>
      </c>
      <c r="G962" s="23" t="s">
        <v>43</v>
      </c>
      <c r="H962" s="23" t="s">
        <v>302</v>
      </c>
    </row>
    <row r="963" ht="22.5" hidden="1" customHeight="1">
      <c r="A963" s="4" t="s">
        <v>823</v>
      </c>
      <c r="B963" s="4">
        <v>2025.0</v>
      </c>
      <c r="C963" s="4" t="s">
        <v>87</v>
      </c>
      <c r="D963" s="4" t="s">
        <v>1173</v>
      </c>
      <c r="E963" s="4" t="str">
        <f>IFERROR(VLOOKUP(G963, 'Padronização'!A:C, 2, FALSE), "")</f>
        <v>❌</v>
      </c>
      <c r="F963" s="23" t="str">
        <f>IFERROR(VLOOKUP(G963, 'Padronização'!A:C, 3, FALSE), "")</f>
        <v>Artigo metodológico genérico (framework, design, how-to)</v>
      </c>
      <c r="G963" s="23" t="s">
        <v>27</v>
      </c>
      <c r="H963" s="33"/>
    </row>
    <row r="964" ht="22.5" hidden="1" customHeight="1">
      <c r="A964" s="4" t="s">
        <v>823</v>
      </c>
      <c r="B964" s="4">
        <v>2025.0</v>
      </c>
      <c r="C964" s="4" t="s">
        <v>87</v>
      </c>
      <c r="D964" s="4" t="s">
        <v>1174</v>
      </c>
      <c r="E964" s="4" t="str">
        <f>IFERROR(VLOOKUP(G964, 'Padronização'!A:C, 2, FALSE), "")</f>
        <v>⚠️</v>
      </c>
      <c r="F964" s="23" t="str">
        <f>IFERROR(VLOOKUP(G964, 'Padronização'!A:C, 3, FALSE), "")</f>
        <v>Emergência com evacuação específica</v>
      </c>
      <c r="G964" s="23" t="s">
        <v>57</v>
      </c>
      <c r="H964" s="33"/>
    </row>
    <row r="965" ht="22.5" hidden="1" customHeight="1">
      <c r="A965" s="4" t="s">
        <v>823</v>
      </c>
      <c r="B965" s="4">
        <v>2025.0</v>
      </c>
      <c r="C965" s="4" t="s">
        <v>33</v>
      </c>
      <c r="D965" s="4" t="s">
        <v>276</v>
      </c>
      <c r="E965" s="4" t="str">
        <f>IFERROR(VLOOKUP(G965, 'Padronização'!A:C, 2, FALSE), "")</f>
        <v>✅</v>
      </c>
      <c r="F965" s="23" t="str">
        <f>IFERROR(VLOOKUP(G965, 'Padronização'!A:C, 3, FALSE), "")</f>
        <v>ABM/MAS aplicado à evacuação</v>
      </c>
      <c r="G965" s="23" t="s">
        <v>45</v>
      </c>
      <c r="H965" s="23" t="s">
        <v>302</v>
      </c>
    </row>
    <row r="966" ht="22.5" hidden="1" customHeight="1">
      <c r="A966" s="4" t="s">
        <v>823</v>
      </c>
      <c r="B966" s="4">
        <v>2025.0</v>
      </c>
      <c r="C966" s="4" t="s">
        <v>33</v>
      </c>
      <c r="D966" s="4" t="s">
        <v>322</v>
      </c>
      <c r="E966" s="4" t="str">
        <f>IFERROR(VLOOKUP(G966, 'Padronização'!A:C, 2, FALSE), "")</f>
        <v>❌</v>
      </c>
      <c r="F966" s="23" t="str">
        <f>IFERROR(VLOOKUP(G966, 'Padronização'!A:C, 3, FALSE), "")</f>
        <v>Algoritmo técnico / MAS sem humano / otimização </v>
      </c>
      <c r="G966" s="23" t="s">
        <v>15</v>
      </c>
      <c r="H966" s="23" t="s">
        <v>302</v>
      </c>
    </row>
    <row r="967" ht="22.5" hidden="1" customHeight="1">
      <c r="A967" s="4" t="s">
        <v>823</v>
      </c>
      <c r="B967" s="4">
        <v>2025.0</v>
      </c>
      <c r="C967" s="4" t="s">
        <v>33</v>
      </c>
      <c r="D967" s="4" t="s">
        <v>1175</v>
      </c>
      <c r="E967" s="4" t="str">
        <f>IFERROR(VLOOKUP(G967, 'Padronização'!A:C, 2, FALSE), "")</f>
        <v>❌</v>
      </c>
      <c r="F967" s="23" t="str">
        <f>IFERROR(VLOOKUP(G967, 'Padronização'!A:C, 3, FALSE), "")</f>
        <v>Transporte / tráfego em operação normal</v>
      </c>
      <c r="G967" s="23" t="s">
        <v>19</v>
      </c>
      <c r="H967" s="33"/>
    </row>
    <row r="968" ht="22.5" hidden="1" customHeight="1">
      <c r="A968" s="4" t="s">
        <v>823</v>
      </c>
      <c r="B968" s="4">
        <v>2025.0</v>
      </c>
      <c r="C968" s="4" t="s">
        <v>87</v>
      </c>
      <c r="D968" s="4" t="s">
        <v>1176</v>
      </c>
      <c r="E968" s="4" t="str">
        <f>IFERROR(VLOOKUP(G968, 'Padronização'!A:C, 2, FALSE), "")</f>
        <v>❌</v>
      </c>
      <c r="F968" s="23" t="str">
        <f>IFERROR(VLOOKUP(G968, 'Padronização'!A:C, 3, FALSE), "")</f>
        <v>Transporte / tráfego em operação normal</v>
      </c>
      <c r="G968" s="23" t="s">
        <v>19</v>
      </c>
      <c r="H968" s="33"/>
    </row>
    <row r="969" ht="22.5" hidden="1" customHeight="1">
      <c r="A969" s="4" t="s">
        <v>823</v>
      </c>
      <c r="B969" s="4">
        <v>2025.0</v>
      </c>
      <c r="C969" s="4" t="s">
        <v>87</v>
      </c>
      <c r="D969" s="4" t="s">
        <v>1177</v>
      </c>
      <c r="E969" s="4" t="str">
        <f>IFERROR(VLOOKUP(G969, 'Padronização'!A:C, 2, FALSE), "")</f>
        <v>❌</v>
      </c>
      <c r="F969" s="23" t="str">
        <f>IFERROR(VLOOKUP(G969, 'Padronização'!A:C, 3, FALSE), "")</f>
        <v>Artigo metodológico genérico (framework, design, how-to)</v>
      </c>
      <c r="G969" s="23" t="s">
        <v>27</v>
      </c>
      <c r="H969" s="33"/>
    </row>
    <row r="970" ht="22.5" hidden="1" customHeight="1">
      <c r="A970" s="4" t="s">
        <v>823</v>
      </c>
      <c r="B970" s="4">
        <v>2025.0</v>
      </c>
      <c r="C970" s="4" t="s">
        <v>33</v>
      </c>
      <c r="D970" s="4" t="s">
        <v>1178</v>
      </c>
      <c r="E970" s="4" t="str">
        <f>IFERROR(VLOOKUP(G970, 'Padronização'!A:C, 2, FALSE), "")</f>
        <v>✅</v>
      </c>
      <c r="F970" s="23" t="str">
        <f>IFERROR(VLOOKUP(G970, 'Padronização'!A:C, 3, FALSE), "")</f>
        <v>ABM/MAS aplicado à evacuação</v>
      </c>
      <c r="G970" s="23" t="s">
        <v>45</v>
      </c>
      <c r="H970" s="23" t="s">
        <v>302</v>
      </c>
    </row>
    <row r="971" ht="22.5" hidden="1" customHeight="1">
      <c r="A971" s="4" t="s">
        <v>823</v>
      </c>
      <c r="B971" s="4">
        <v>2024.0</v>
      </c>
      <c r="C971" s="4" t="s">
        <v>87</v>
      </c>
      <c r="D971" s="4" t="s">
        <v>1179</v>
      </c>
      <c r="E971" s="4" t="str">
        <f>IFERROR(VLOOKUP(G971, 'Padronização'!A:C, 2, FALSE), "")</f>
        <v>❌</v>
      </c>
      <c r="F971" s="23" t="str">
        <f>IFERROR(VLOOKUP(G971, 'Padronização'!A:C, 3, FALSE), "")</f>
        <v>Emergência em saúde com foco operacional / Operação hospitalar</v>
      </c>
      <c r="G971" s="23" t="s">
        <v>38</v>
      </c>
      <c r="H971" s="33"/>
    </row>
    <row r="972" ht="22.5" hidden="1" customHeight="1">
      <c r="A972" s="4" t="s">
        <v>823</v>
      </c>
      <c r="B972" s="4">
        <v>2024.0</v>
      </c>
      <c r="C972" s="4" t="s">
        <v>87</v>
      </c>
      <c r="D972" s="4" t="s">
        <v>1180</v>
      </c>
      <c r="E972" s="4" t="str">
        <f>IFERROR(VLOOKUP(G972, 'Padronização'!A:C, 2, FALSE), "")</f>
        <v>❌</v>
      </c>
      <c r="F972" s="23" t="str">
        <f>IFERROR(VLOOKUP(G972, 'Padronização'!A:C, 3, FALSE), "")</f>
        <v>Emergência em saúde com foco operacional / Operação hospitalar</v>
      </c>
      <c r="G972" s="23" t="s">
        <v>38</v>
      </c>
      <c r="H972" s="23" t="s">
        <v>302</v>
      </c>
    </row>
    <row r="973" ht="22.5" hidden="1" customHeight="1">
      <c r="A973" s="4" t="s">
        <v>823</v>
      </c>
      <c r="B973" s="4">
        <v>2024.0</v>
      </c>
      <c r="C973" s="4" t="s">
        <v>87</v>
      </c>
      <c r="D973" s="4" t="s">
        <v>1181</v>
      </c>
      <c r="E973" s="4" t="str">
        <f>IFERROR(VLOOKUP(G973, 'Padronização'!A:C, 2, FALSE), "")</f>
        <v>⚠️</v>
      </c>
      <c r="F973" s="23" t="str">
        <f>IFERROR(VLOOKUP(G973, 'Padronização'!A:C, 3, FALSE), "")</f>
        <v>Emergência com evacuação específica</v>
      </c>
      <c r="G973" s="23" t="s">
        <v>57</v>
      </c>
      <c r="H973" s="33"/>
    </row>
    <row r="974" ht="22.5" hidden="1" customHeight="1">
      <c r="A974" s="4" t="s">
        <v>823</v>
      </c>
      <c r="B974" s="4">
        <v>2024.0</v>
      </c>
      <c r="C974" s="4" t="s">
        <v>87</v>
      </c>
      <c r="D974" s="4" t="s">
        <v>397</v>
      </c>
      <c r="E974" s="4" t="str">
        <f>IFERROR(VLOOKUP(G974, 'Padronização'!A:C, 2, FALSE), "")</f>
        <v>✅</v>
      </c>
      <c r="F974" s="23" t="str">
        <f>IFERROR(VLOOKUP(G974, 'Padronização'!A:C, 3, FALSE), "")</f>
        <v>ABM/MAS focado em comportamento humano cognitivo</v>
      </c>
      <c r="G974" s="23" t="s">
        <v>47</v>
      </c>
      <c r="H974" s="23" t="s">
        <v>302</v>
      </c>
    </row>
    <row r="975" ht="22.5" hidden="1" customHeight="1">
      <c r="A975" s="4" t="s">
        <v>823</v>
      </c>
      <c r="B975" s="4">
        <v>2024.0</v>
      </c>
      <c r="C975" s="4" t="s">
        <v>87</v>
      </c>
      <c r="D975" s="4" t="s">
        <v>1182</v>
      </c>
      <c r="E975" s="4" t="str">
        <f>IFERROR(VLOOKUP(G975, 'Padronização'!A:C, 2, FALSE), "")</f>
        <v>❌</v>
      </c>
      <c r="F975" s="23" t="str">
        <f>IFERROR(VLOOKUP(G975, 'Padronização'!A:C, 3, FALSE), "")</f>
        <v>Algoritmo técnico / MAS sem humano / otimização </v>
      </c>
      <c r="G975" s="23" t="s">
        <v>15</v>
      </c>
      <c r="H975" s="23" t="s">
        <v>302</v>
      </c>
    </row>
    <row r="976" ht="22.5" hidden="1" customHeight="1">
      <c r="A976" s="4" t="s">
        <v>823</v>
      </c>
      <c r="B976" s="4">
        <v>2024.0</v>
      </c>
      <c r="C976" s="4" t="s">
        <v>87</v>
      </c>
      <c r="D976" s="4" t="s">
        <v>1183</v>
      </c>
      <c r="E976" s="4" t="str">
        <f>IFERROR(VLOOKUP(G976, 'Padronização'!A:C, 2, FALSE), "")</f>
        <v>❌</v>
      </c>
      <c r="F976" s="23" t="str">
        <f>IFERROR(VLOOKUP(G976, 'Padronização'!A:C, 3, FALSE), "")</f>
        <v>Emergência em saúde com foco operacional / Operação hospitalar</v>
      </c>
      <c r="G976" s="23" t="s">
        <v>38</v>
      </c>
      <c r="H976" s="33"/>
    </row>
    <row r="977" ht="22.5" hidden="1" customHeight="1">
      <c r="A977" s="4" t="s">
        <v>823</v>
      </c>
      <c r="B977" s="4">
        <v>2024.0</v>
      </c>
      <c r="C977" s="4" t="s">
        <v>87</v>
      </c>
      <c r="D977" s="4" t="s">
        <v>1184</v>
      </c>
      <c r="E977" s="4" t="str">
        <f>IFERROR(VLOOKUP(G977, 'Padronização'!A:C, 2, FALSE), "")</f>
        <v>❌</v>
      </c>
      <c r="F977" s="23" t="str">
        <f>IFERROR(VLOOKUP(G977, 'Padronização'!A:C, 3, FALSE), "")</f>
        <v>Emergência em saúde com foco operacional / Operação hospitalar</v>
      </c>
      <c r="G977" s="23" t="s">
        <v>38</v>
      </c>
      <c r="H977" s="23" t="s">
        <v>302</v>
      </c>
    </row>
    <row r="978" ht="22.5" hidden="1" customHeight="1">
      <c r="A978" s="4" t="s">
        <v>823</v>
      </c>
      <c r="B978" s="4">
        <v>2024.0</v>
      </c>
      <c r="C978" s="4" t="s">
        <v>87</v>
      </c>
      <c r="D978" s="4" t="s">
        <v>1185</v>
      </c>
      <c r="E978" s="4" t="str">
        <f>IFERROR(VLOOKUP(G978, 'Padronização'!A:C, 2, FALSE), "")</f>
        <v>❌</v>
      </c>
      <c r="F978" s="23" t="str">
        <f>IFERROR(VLOOKUP(G978, 'Padronização'!A:C, 3, FALSE), "")</f>
        <v>Emergência em saúde com foco operacional / Operação hospitalar</v>
      </c>
      <c r="G978" s="23" t="s">
        <v>38</v>
      </c>
      <c r="H978" s="33"/>
    </row>
    <row r="979" ht="22.5" hidden="1" customHeight="1">
      <c r="A979" s="4" t="s">
        <v>823</v>
      </c>
      <c r="B979" s="4">
        <v>2024.0</v>
      </c>
      <c r="C979" s="4" t="s">
        <v>87</v>
      </c>
      <c r="D979" s="4" t="s">
        <v>1186</v>
      </c>
      <c r="E979" s="4" t="str">
        <f>IFERROR(VLOOKUP(G979, 'Padronização'!A:C, 2, FALSE), "")</f>
        <v>❌</v>
      </c>
      <c r="F979" s="23" t="str">
        <f>IFERROR(VLOOKUP(G979, 'Padronização'!A:C, 3, FALSE), "")</f>
        <v>Emergência em saúde com foco operacional / Operação hospitalar</v>
      </c>
      <c r="G979" s="23" t="s">
        <v>38</v>
      </c>
      <c r="H979" s="23" t="s">
        <v>302</v>
      </c>
    </row>
    <row r="980" ht="22.5" hidden="1" customHeight="1">
      <c r="A980" s="4" t="s">
        <v>823</v>
      </c>
      <c r="B980" s="4">
        <v>2024.0</v>
      </c>
      <c r="C980" s="4" t="s">
        <v>87</v>
      </c>
      <c r="D980" s="4" t="s">
        <v>1187</v>
      </c>
      <c r="E980" s="4" t="str">
        <f>IFERROR(VLOOKUP(G980, 'Padronização'!A:C, 2, FALSE), "")</f>
        <v>❌</v>
      </c>
      <c r="F980" s="23" t="str">
        <f>IFERROR(VLOOKUP(G980, 'Padronização'!A:C, 3, FALSE), "")</f>
        <v>Supply chain / impacto econômico indireto</v>
      </c>
      <c r="G980" s="23" t="s">
        <v>34</v>
      </c>
      <c r="H980" s="23" t="s">
        <v>302</v>
      </c>
    </row>
    <row r="981" ht="22.5" hidden="1" customHeight="1">
      <c r="A981" s="4" t="s">
        <v>823</v>
      </c>
      <c r="B981" s="4">
        <v>2024.0</v>
      </c>
      <c r="C981" s="4" t="s">
        <v>87</v>
      </c>
      <c r="D981" s="4" t="s">
        <v>1188</v>
      </c>
      <c r="E981" s="4" t="str">
        <f>IFERROR(VLOOKUP(G981, 'Padronização'!A:C, 2, FALSE), "")</f>
        <v>❌</v>
      </c>
      <c r="F981" s="23" t="str">
        <f>IFERROR(VLOOKUP(G981, 'Padronização'!A:C, 3, FALSE), "")</f>
        <v>Emergência em saúde com foco operacional / Operação hospitalar</v>
      </c>
      <c r="G981" s="23" t="s">
        <v>38</v>
      </c>
      <c r="H981" s="23" t="s">
        <v>302</v>
      </c>
    </row>
    <row r="982" ht="22.5" hidden="1" customHeight="1">
      <c r="A982" s="4" t="s">
        <v>823</v>
      </c>
      <c r="B982" s="4">
        <v>2024.0</v>
      </c>
      <c r="C982" s="4" t="s">
        <v>87</v>
      </c>
      <c r="D982" s="4" t="s">
        <v>1189</v>
      </c>
      <c r="E982" s="4" t="str">
        <f>IFERROR(VLOOKUP(G982, 'Padronização'!A:C, 2, FALSE), "")</f>
        <v>❌</v>
      </c>
      <c r="F982" s="23" t="str">
        <f>IFERROR(VLOOKUP(G982, 'Padronização'!A:C, 3, FALSE), "")</f>
        <v>Não aborda cenário de crise ou desastre</v>
      </c>
      <c r="G982" s="23" t="s">
        <v>31</v>
      </c>
      <c r="H982" s="33"/>
    </row>
    <row r="983" ht="22.5" hidden="1" customHeight="1">
      <c r="A983" s="4" t="s">
        <v>823</v>
      </c>
      <c r="B983" s="4">
        <v>2024.0</v>
      </c>
      <c r="C983" s="4" t="s">
        <v>87</v>
      </c>
      <c r="D983" s="4" t="s">
        <v>1190</v>
      </c>
      <c r="E983" s="4" t="str">
        <f>IFERROR(VLOOKUP(G983, 'Padronização'!A:C, 2, FALSE), "")</f>
        <v>❌</v>
      </c>
      <c r="F983" s="23" t="str">
        <f>IFERROR(VLOOKUP(G983, 'Padronização'!A:C, 3, FALSE), "")</f>
        <v>Transporte / tráfego em operação normal</v>
      </c>
      <c r="G983" s="23" t="s">
        <v>19</v>
      </c>
      <c r="H983" s="33"/>
    </row>
    <row r="984" ht="22.5" hidden="1" customHeight="1">
      <c r="A984" s="4" t="s">
        <v>823</v>
      </c>
      <c r="B984" s="4">
        <v>2024.0</v>
      </c>
      <c r="C984" s="4" t="s">
        <v>87</v>
      </c>
      <c r="D984" s="4" t="s">
        <v>570</v>
      </c>
      <c r="E984" s="4" t="str">
        <f>IFERROR(VLOOKUP(G984, 'Padronização'!A:C, 2, FALSE), "")</f>
        <v>❌</v>
      </c>
      <c r="F984" s="23" t="str">
        <f>IFERROR(VLOOKUP(G984, 'Padronização'!A:C, 3, FALSE), "")</f>
        <v>Energia, grid, V2G; crise tratada como operação técnica</v>
      </c>
      <c r="G984" s="23" t="s">
        <v>12</v>
      </c>
      <c r="H984" s="33"/>
    </row>
    <row r="985" ht="22.5" hidden="1" customHeight="1">
      <c r="A985" s="4" t="s">
        <v>823</v>
      </c>
      <c r="B985" s="4">
        <v>2024.0</v>
      </c>
      <c r="C985" s="4" t="s">
        <v>87</v>
      </c>
      <c r="D985" s="4" t="s">
        <v>1191</v>
      </c>
      <c r="E985" s="4" t="str">
        <f>IFERROR(VLOOKUP(G985, 'Padronização'!A:C, 2, FALSE), "")</f>
        <v>⚠️</v>
      </c>
      <c r="F985" s="23" t="str">
        <f>IFERROR(VLOOKUP(G985, 'Padronização'!A:C, 3, FALSE), "")</f>
        <v>Crise explícita com foco em infraestrutura</v>
      </c>
      <c r="G985" s="23" t="s">
        <v>40</v>
      </c>
      <c r="H985" s="33"/>
    </row>
    <row r="986" ht="22.5" hidden="1" customHeight="1">
      <c r="A986" s="4" t="s">
        <v>823</v>
      </c>
      <c r="B986" s="4">
        <v>2024.0</v>
      </c>
      <c r="C986" s="4" t="s">
        <v>33</v>
      </c>
      <c r="D986" s="4" t="s">
        <v>1192</v>
      </c>
      <c r="E986" s="4" t="str">
        <f>IFERROR(VLOOKUP(G986, 'Padronização'!A:C, 2, FALSE), "")</f>
        <v>❌</v>
      </c>
      <c r="F986" s="23" t="str">
        <f>IFERROR(VLOOKUP(G986, 'Padronização'!A:C, 3, FALSE), "")</f>
        <v>Transporte / tráfego em operação normal</v>
      </c>
      <c r="G986" s="23" t="s">
        <v>19</v>
      </c>
      <c r="H986" s="33"/>
    </row>
    <row r="987" ht="22.5" customHeight="1">
      <c r="A987" s="4" t="s">
        <v>823</v>
      </c>
      <c r="B987" s="4">
        <v>2024.0</v>
      </c>
      <c r="C987" s="4" t="s">
        <v>87</v>
      </c>
      <c r="D987" s="13" t="s">
        <v>1193</v>
      </c>
      <c r="E987" s="4" t="str">
        <f>IFERROR(VLOOKUP(G987, 'Padronização'!A:C, 2, FALSE), "")</f>
        <v>✅</v>
      </c>
      <c r="F987" s="23" t="str">
        <f>IFERROR(VLOOKUP(G987, 'Padronização'!A:C, 3, FALSE), "")</f>
        <v>ABM/MAS aplicado à evacuação</v>
      </c>
      <c r="G987" s="23" t="s">
        <v>45</v>
      </c>
      <c r="H987" s="33"/>
    </row>
    <row r="988" ht="22.5" hidden="1" customHeight="1">
      <c r="A988" s="4" t="s">
        <v>823</v>
      </c>
      <c r="B988" s="4">
        <v>2024.0</v>
      </c>
      <c r="C988" s="4" t="s">
        <v>87</v>
      </c>
      <c r="D988" s="4" t="s">
        <v>1194</v>
      </c>
      <c r="E988" s="4" t="str">
        <f>IFERROR(VLOOKUP(G988, 'Padronização'!A:C, 2, FALSE), "")</f>
        <v>❌</v>
      </c>
      <c r="F988" s="23" t="str">
        <f>IFERROR(VLOOKUP(G988, 'Padronização'!A:C, 3, FALSE), "")</f>
        <v>Supply chain / impacto econômico indireto</v>
      </c>
      <c r="G988" s="23" t="s">
        <v>34</v>
      </c>
      <c r="H988" s="33"/>
    </row>
    <row r="989" ht="22.5" hidden="1" customHeight="1">
      <c r="A989" s="4" t="s">
        <v>823</v>
      </c>
      <c r="B989" s="4">
        <v>2024.0</v>
      </c>
      <c r="C989" s="4" t="s">
        <v>87</v>
      </c>
      <c r="D989" s="4" t="s">
        <v>1195</v>
      </c>
      <c r="E989" s="4" t="str">
        <f>IFERROR(VLOOKUP(G989, 'Padronização'!A:C, 2, FALSE), "")</f>
        <v>✅</v>
      </c>
      <c r="F989" s="23" t="str">
        <f>IFERROR(VLOOKUP(G989, 'Padronização'!A:C, 3, FALSE), "")</f>
        <v>ABM/MAS aplicado à evacuação</v>
      </c>
      <c r="G989" s="23" t="s">
        <v>45</v>
      </c>
      <c r="H989" s="23" t="s">
        <v>302</v>
      </c>
    </row>
    <row r="990" ht="22.5" hidden="1" customHeight="1">
      <c r="A990" s="4" t="s">
        <v>823</v>
      </c>
      <c r="B990" s="4">
        <v>2024.0</v>
      </c>
      <c r="C990" s="4" t="s">
        <v>87</v>
      </c>
      <c r="D990" s="4" t="s">
        <v>1196</v>
      </c>
      <c r="E990" s="4" t="str">
        <f>IFERROR(VLOOKUP(G990, 'Padronização'!A:C, 2, FALSE), "")</f>
        <v>❌</v>
      </c>
      <c r="F990" s="23" t="str">
        <f>IFERROR(VLOOKUP(G990, 'Padronização'!A:C, 3, FALSE), "")</f>
        <v>Algoritmo técnico / MAS sem humano / otimização </v>
      </c>
      <c r="G990" s="23" t="s">
        <v>15</v>
      </c>
      <c r="H990" s="33"/>
    </row>
    <row r="991" ht="22.5" customHeight="1">
      <c r="A991" s="4" t="s">
        <v>823</v>
      </c>
      <c r="B991" s="4">
        <v>2024.0</v>
      </c>
      <c r="C991" s="4" t="s">
        <v>87</v>
      </c>
      <c r="D991" s="4" t="s">
        <v>851</v>
      </c>
      <c r="E991" s="4" t="str">
        <f>IFERROR(VLOOKUP(G991, 'Padronização'!A:C, 2, FALSE), "")</f>
        <v>✅</v>
      </c>
      <c r="F991" s="23" t="str">
        <f>IFERROR(VLOOKUP(G991, 'Padronização'!A:C, 3, FALSE), "")</f>
        <v>ABM/MAS focado em comportamento humano cognitivo</v>
      </c>
      <c r="G991" s="23" t="s">
        <v>47</v>
      </c>
      <c r="H991" s="33"/>
    </row>
    <row r="992" ht="22.5" hidden="1" customHeight="1">
      <c r="A992" s="4" t="s">
        <v>823</v>
      </c>
      <c r="B992" s="4">
        <v>2024.0</v>
      </c>
      <c r="C992" s="4" t="s">
        <v>87</v>
      </c>
      <c r="D992" s="4" t="s">
        <v>501</v>
      </c>
      <c r="E992" s="4" t="str">
        <f>IFERROR(VLOOKUP(G992, 'Padronização'!A:C, 2, FALSE), "")</f>
        <v>❌</v>
      </c>
      <c r="F992" s="23" t="str">
        <f>IFERROR(VLOOKUP(G992, 'Padronização'!A:C, 3, FALSE), "")</f>
        <v>Não aborda cenário de crise ou desastre</v>
      </c>
      <c r="G992" s="23" t="s">
        <v>31</v>
      </c>
      <c r="H992" s="23" t="s">
        <v>302</v>
      </c>
    </row>
    <row r="993" ht="22.5" hidden="1" customHeight="1">
      <c r="A993" s="4" t="s">
        <v>823</v>
      </c>
      <c r="B993" s="4">
        <v>2024.0</v>
      </c>
      <c r="C993" s="4" t="s">
        <v>87</v>
      </c>
      <c r="D993" s="4" t="s">
        <v>1197</v>
      </c>
      <c r="E993" s="4" t="str">
        <f>IFERROR(VLOOKUP(G993, 'Padronização'!A:C, 2, FALSE), "")</f>
        <v>❌</v>
      </c>
      <c r="F993" s="23" t="str">
        <f>IFERROR(VLOOKUP(G993, 'Padronização'!A:C, 3, FALSE), "")</f>
        <v>Supply chain / impacto econômico indireto</v>
      </c>
      <c r="G993" s="23" t="s">
        <v>34</v>
      </c>
      <c r="H993" s="33"/>
    </row>
    <row r="994" ht="22.5" customHeight="1">
      <c r="A994" s="4" t="s">
        <v>823</v>
      </c>
      <c r="B994" s="4">
        <v>2024.0</v>
      </c>
      <c r="C994" s="4" t="s">
        <v>33</v>
      </c>
      <c r="D994" s="4" t="s">
        <v>854</v>
      </c>
      <c r="E994" s="4" t="str">
        <f>IFERROR(VLOOKUP(G994, 'Padronização'!A:C, 2, FALSE), "")</f>
        <v>✅</v>
      </c>
      <c r="F994" s="23" t="str">
        <f>IFERROR(VLOOKUP(G994, 'Padronização'!A:C, 3, FALSE), "")</f>
        <v>ABM/MAS focado em comportamento humano cognitivo</v>
      </c>
      <c r="G994" s="23" t="s">
        <v>47</v>
      </c>
      <c r="H994" s="33"/>
    </row>
    <row r="995" ht="22.5" hidden="1" customHeight="1">
      <c r="A995" s="4" t="s">
        <v>823</v>
      </c>
      <c r="B995" s="4">
        <v>2024.0</v>
      </c>
      <c r="C995" s="4" t="s">
        <v>87</v>
      </c>
      <c r="D995" s="4" t="s">
        <v>1198</v>
      </c>
      <c r="E995" s="4" t="str">
        <f>IFERROR(VLOOKUP(G995, 'Padronização'!A:C, 2, FALSE), "")</f>
        <v>❌</v>
      </c>
      <c r="F995" s="23" t="str">
        <f>IFERROR(VLOOKUP(G995, 'Padronização'!A:C, 3, FALSE), "")</f>
        <v>Algoritmo técnico / MAS sem humano / otimização </v>
      </c>
      <c r="G995" s="23" t="s">
        <v>15</v>
      </c>
      <c r="H995" s="23" t="s">
        <v>302</v>
      </c>
    </row>
    <row r="996" ht="22.5" hidden="1" customHeight="1">
      <c r="A996" s="4" t="s">
        <v>823</v>
      </c>
      <c r="B996" s="4">
        <v>2024.0</v>
      </c>
      <c r="C996" s="4" t="s">
        <v>87</v>
      </c>
      <c r="D996" s="4" t="s">
        <v>1199</v>
      </c>
      <c r="E996" s="4" t="str">
        <f>IFERROR(VLOOKUP(G996, 'Padronização'!A:C, 2, FALSE), "")</f>
        <v>❌</v>
      </c>
      <c r="F996" s="23" t="str">
        <f>IFERROR(VLOOKUP(G996, 'Padronização'!A:C, 3, FALSE), "")</f>
        <v>Supply chain / impacto econômico indireto</v>
      </c>
      <c r="G996" s="23" t="s">
        <v>34</v>
      </c>
      <c r="H996" s="33"/>
    </row>
    <row r="997" ht="22.5" hidden="1" customHeight="1">
      <c r="A997" s="4" t="s">
        <v>823</v>
      </c>
      <c r="B997" s="4">
        <v>2024.0</v>
      </c>
      <c r="C997" s="4" t="s">
        <v>87</v>
      </c>
      <c r="D997" s="4" t="s">
        <v>1200</v>
      </c>
      <c r="E997" s="4" t="str">
        <f>IFERROR(VLOOKUP(G997, 'Padronização'!A:C, 2, FALSE), "")</f>
        <v>❌</v>
      </c>
      <c r="F997" s="23" t="str">
        <f>IFERROR(VLOOKUP(G997, 'Padronização'!A:C, 3, FALSE), "")</f>
        <v>Energia, grid, V2G; crise tratada como operação técnica</v>
      </c>
      <c r="G997" s="23" t="s">
        <v>12</v>
      </c>
      <c r="H997" s="33"/>
    </row>
    <row r="998" ht="22.5" hidden="1" customHeight="1">
      <c r="A998" s="4" t="s">
        <v>823</v>
      </c>
      <c r="B998" s="4">
        <v>2024.0</v>
      </c>
      <c r="C998" s="4" t="s">
        <v>33</v>
      </c>
      <c r="D998" s="4" t="s">
        <v>1201</v>
      </c>
      <c r="E998" s="4" t="str">
        <f>IFERROR(VLOOKUP(G998, 'Padronização'!A:C, 2, FALSE), "")</f>
        <v>❌</v>
      </c>
      <c r="F998" s="23" t="str">
        <f>IFERROR(VLOOKUP(G998, 'Padronização'!A:C, 3, FALSE), "")</f>
        <v>Artigo metodológico genérico (framework, design, how-to)</v>
      </c>
      <c r="G998" s="23" t="s">
        <v>27</v>
      </c>
      <c r="H998" s="33"/>
    </row>
    <row r="999" ht="22.5" hidden="1" customHeight="1">
      <c r="A999" s="4" t="s">
        <v>823</v>
      </c>
      <c r="B999" s="4">
        <v>2024.0</v>
      </c>
      <c r="C999" s="4" t="s">
        <v>33</v>
      </c>
      <c r="D999" s="4" t="s">
        <v>1202</v>
      </c>
      <c r="E999" s="4" t="str">
        <f>IFERROR(VLOOKUP(G999, 'Padronização'!A:C, 2, FALSE), "")</f>
        <v>⚠️</v>
      </c>
      <c r="F999" s="23" t="str">
        <f>IFERROR(VLOOKUP(G999, 'Padronização'!A:C, 3, FALSE), "")</f>
        <v>Emergência com evacuação específica</v>
      </c>
      <c r="G999" s="23" t="s">
        <v>57</v>
      </c>
      <c r="H999" s="33"/>
    </row>
    <row r="1000" ht="22.5" hidden="1" customHeight="1">
      <c r="A1000" s="4" t="s">
        <v>823</v>
      </c>
      <c r="B1000" s="4">
        <v>2024.0</v>
      </c>
      <c r="C1000" s="4" t="s">
        <v>33</v>
      </c>
      <c r="D1000" s="4" t="s">
        <v>1203</v>
      </c>
      <c r="E1000" s="4" t="str">
        <f>IFERROR(VLOOKUP(G1000, 'Padronização'!A:C, 2, FALSE), "")</f>
        <v>❌</v>
      </c>
      <c r="F1000" s="23" t="str">
        <f>IFERROR(VLOOKUP(G1000, 'Padronização'!A:C, 3, FALSE), "")</f>
        <v>Artigo metodológico genérico (framework, design, how-to)</v>
      </c>
      <c r="G1000" s="23" t="s">
        <v>27</v>
      </c>
      <c r="H1000" s="33"/>
    </row>
    <row r="1001" ht="22.5" hidden="1" customHeight="1">
      <c r="A1001" s="4" t="s">
        <v>823</v>
      </c>
      <c r="B1001" s="4">
        <v>2024.0</v>
      </c>
      <c r="C1001" s="4" t="s">
        <v>33</v>
      </c>
      <c r="D1001" s="4" t="s">
        <v>1204</v>
      </c>
      <c r="E1001" s="4" t="str">
        <f>IFERROR(VLOOKUP(G1001, 'Padronização'!A:C, 2, FALSE), "")</f>
        <v>⚠️</v>
      </c>
      <c r="F1001" s="23" t="str">
        <f>IFERROR(VLOOKUP(G1001, 'Padronização'!A:C, 3, FALSE), "")</f>
        <v>Emergência com evacuação específica</v>
      </c>
      <c r="G1001" s="23" t="s">
        <v>57</v>
      </c>
      <c r="H1001" s="33"/>
    </row>
    <row r="1002" ht="22.5" hidden="1" customHeight="1">
      <c r="A1002" s="4" t="s">
        <v>823</v>
      </c>
      <c r="B1002" s="4">
        <v>2024.0</v>
      </c>
      <c r="C1002" s="4" t="s">
        <v>33</v>
      </c>
      <c r="D1002" s="4" t="s">
        <v>1205</v>
      </c>
      <c r="E1002" s="4" t="str">
        <f>IFERROR(VLOOKUP(G1002, 'Padronização'!A:C, 2, FALSE), "")</f>
        <v>⚠️</v>
      </c>
      <c r="F1002" s="23" t="str">
        <f>IFERROR(VLOOKUP(G1002, 'Padronização'!A:C, 3, FALSE), "")</f>
        <v>Crise explícita com foco em infraestrutura</v>
      </c>
      <c r="G1002" s="23" t="s">
        <v>40</v>
      </c>
      <c r="H1002" s="33"/>
    </row>
    <row r="1003" ht="22.5" hidden="1" customHeight="1">
      <c r="A1003" s="4" t="s">
        <v>823</v>
      </c>
      <c r="B1003" s="4">
        <v>2023.0</v>
      </c>
      <c r="C1003" s="4" t="s">
        <v>87</v>
      </c>
      <c r="D1003" s="4" t="s">
        <v>1206</v>
      </c>
      <c r="E1003" s="4" t="str">
        <f>IFERROR(VLOOKUP(G1003, 'Padronização'!A:C, 2, FALSE), "")</f>
        <v>⚠️</v>
      </c>
      <c r="F1003" s="23" t="str">
        <f>IFERROR(VLOOKUP(G1003, 'Padronização'!A:C, 3, FALSE), "")</f>
        <v>Emergência com evacuação específica</v>
      </c>
      <c r="G1003" s="23" t="s">
        <v>57</v>
      </c>
      <c r="H1003" s="33"/>
    </row>
    <row r="1004" ht="22.5" customHeight="1">
      <c r="A1004" s="4" t="s">
        <v>823</v>
      </c>
      <c r="B1004" s="4">
        <v>2023.0</v>
      </c>
      <c r="C1004" s="4" t="s">
        <v>87</v>
      </c>
      <c r="D1004" s="4" t="s">
        <v>1207</v>
      </c>
      <c r="E1004" s="4" t="str">
        <f>IFERROR(VLOOKUP(G1004, 'Padronização'!A:C, 2, FALSE), "")</f>
        <v>✅</v>
      </c>
      <c r="F1004" s="23" t="str">
        <f>IFERROR(VLOOKUP(G1004, 'Padronização'!A:C, 3, FALSE), "")</f>
        <v>ABM/MAS focado em comportamento humano cognitivo</v>
      </c>
      <c r="G1004" s="23" t="s">
        <v>47</v>
      </c>
      <c r="H1004" s="33"/>
    </row>
    <row r="1005" ht="22.5" hidden="1" customHeight="1">
      <c r="A1005" s="4" t="s">
        <v>823</v>
      </c>
      <c r="B1005" s="4">
        <v>2023.0</v>
      </c>
      <c r="C1005" s="4" t="s">
        <v>87</v>
      </c>
      <c r="D1005" s="4" t="s">
        <v>1208</v>
      </c>
      <c r="E1005" s="4" t="str">
        <f>IFERROR(VLOOKUP(G1005, 'Padronização'!A:C, 2, FALSE), "")</f>
        <v>❌</v>
      </c>
      <c r="F1005" s="23" t="str">
        <f>IFERROR(VLOOKUP(G1005, 'Padronização'!A:C, 3, FALSE), "")</f>
        <v>Artigo metodológico genérico (framework, design, how-to)</v>
      </c>
      <c r="G1005" s="23" t="s">
        <v>27</v>
      </c>
      <c r="H1005" s="33"/>
    </row>
    <row r="1006" ht="22.5" hidden="1" customHeight="1">
      <c r="A1006" s="4" t="s">
        <v>823</v>
      </c>
      <c r="B1006" s="4">
        <v>2023.0</v>
      </c>
      <c r="C1006" s="4" t="s">
        <v>87</v>
      </c>
      <c r="D1006" s="4" t="s">
        <v>1209</v>
      </c>
      <c r="E1006" s="4" t="str">
        <f>IFERROR(VLOOKUP(G1006, 'Padronização'!A:C, 2, FALSE), "")</f>
        <v>❌</v>
      </c>
      <c r="F1006" s="23" t="str">
        <f>IFERROR(VLOOKUP(G1006, 'Padronização'!A:C, 3, FALSE), "")</f>
        <v>Emergência em saúde com foco operacional / Operação hospitalar</v>
      </c>
      <c r="G1006" s="23" t="s">
        <v>38</v>
      </c>
      <c r="H1006" s="33"/>
    </row>
    <row r="1007" ht="22.5" hidden="1" customHeight="1">
      <c r="A1007" s="4" t="s">
        <v>823</v>
      </c>
      <c r="B1007" s="4">
        <v>2023.0</v>
      </c>
      <c r="C1007" s="4" t="s">
        <v>87</v>
      </c>
      <c r="D1007" s="4" t="s">
        <v>726</v>
      </c>
      <c r="E1007" s="4" t="str">
        <f>IFERROR(VLOOKUP(G1007, 'Padronização'!A:C, 2, FALSE), "")</f>
        <v>❌</v>
      </c>
      <c r="F1007" s="23" t="str">
        <f>IFERROR(VLOOKUP(G1007, 'Padronização'!A:C, 3, FALSE), "")</f>
        <v>Emergência em saúde com foco operacional / Operação hospitalar</v>
      </c>
      <c r="G1007" s="23" t="s">
        <v>38</v>
      </c>
      <c r="H1007" s="23" t="s">
        <v>302</v>
      </c>
    </row>
    <row r="1008" ht="22.5" hidden="1" customHeight="1">
      <c r="A1008" s="4" t="s">
        <v>823</v>
      </c>
      <c r="B1008" s="4">
        <v>2023.0</v>
      </c>
      <c r="C1008" s="4" t="s">
        <v>87</v>
      </c>
      <c r="D1008" s="4" t="s">
        <v>1210</v>
      </c>
      <c r="E1008" s="4" t="str">
        <f>IFERROR(VLOOKUP(G1008, 'Padronização'!A:C, 2, FALSE), "")</f>
        <v>❌</v>
      </c>
      <c r="F1008" s="23" t="str">
        <f>IFERROR(VLOOKUP(G1008, 'Padronização'!A:C, 3, FALSE), "")</f>
        <v>Emergência em saúde com foco operacional / Operação hospitalar</v>
      </c>
      <c r="G1008" s="23" t="s">
        <v>38</v>
      </c>
      <c r="H1008" s="23" t="s">
        <v>302</v>
      </c>
    </row>
    <row r="1009" ht="22.5" hidden="1" customHeight="1">
      <c r="A1009" s="4" t="s">
        <v>823</v>
      </c>
      <c r="B1009" s="4">
        <v>2023.0</v>
      </c>
      <c r="C1009" s="4" t="s">
        <v>87</v>
      </c>
      <c r="D1009" s="4" t="s">
        <v>1211</v>
      </c>
      <c r="E1009" s="4" t="str">
        <f>IFERROR(VLOOKUP(G1009, 'Padronização'!A:C, 2, FALSE), "")</f>
        <v>❌</v>
      </c>
      <c r="F1009" s="23" t="str">
        <f>IFERROR(VLOOKUP(G1009, 'Padronização'!A:C, 3, FALSE), "")</f>
        <v>Telecomunicações emergenciais / alocação de rede; foco técnico</v>
      </c>
      <c r="G1009" s="23" t="s">
        <v>5</v>
      </c>
      <c r="H1009" s="23" t="s">
        <v>302</v>
      </c>
    </row>
    <row r="1010" ht="22.5" hidden="1" customHeight="1">
      <c r="A1010" s="4" t="s">
        <v>823</v>
      </c>
      <c r="B1010" s="4">
        <v>2023.0</v>
      </c>
      <c r="C1010" s="4" t="s">
        <v>87</v>
      </c>
      <c r="D1010" s="4" t="s">
        <v>1212</v>
      </c>
      <c r="E1010" s="4" t="str">
        <f>IFERROR(VLOOKUP(G1010, 'Padronização'!A:C, 2, FALSE), "")</f>
        <v>⚠️</v>
      </c>
      <c r="F1010" s="23" t="str">
        <f>IFERROR(VLOOKUP(G1010, 'Padronização'!A:C, 3, FALSE), "")</f>
        <v>Emergência com evacuação específica</v>
      </c>
      <c r="G1010" s="23" t="s">
        <v>57</v>
      </c>
      <c r="H1010" s="33"/>
    </row>
    <row r="1011" ht="22.5" hidden="1" customHeight="1">
      <c r="A1011" s="4" t="s">
        <v>823</v>
      </c>
      <c r="B1011" s="4">
        <v>2023.0</v>
      </c>
      <c r="C1011" s="4" t="s">
        <v>87</v>
      </c>
      <c r="D1011" s="4" t="s">
        <v>1213</v>
      </c>
      <c r="E1011" s="4" t="str">
        <f>IFERROR(VLOOKUP(G1011, 'Padronização'!A:C, 2, FALSE), "")</f>
        <v>❌</v>
      </c>
      <c r="F1011" s="23" t="str">
        <f>IFERROR(VLOOKUP(G1011, 'Padronização'!A:C, 3, FALSE), "")</f>
        <v>Emergência em saúde com foco operacional / Operação hospitalar</v>
      </c>
      <c r="G1011" s="23" t="s">
        <v>38</v>
      </c>
      <c r="H1011" s="33"/>
    </row>
    <row r="1012" ht="22.5" hidden="1" customHeight="1">
      <c r="A1012" s="4" t="s">
        <v>823</v>
      </c>
      <c r="B1012" s="4">
        <v>2023.0</v>
      </c>
      <c r="C1012" s="4" t="s">
        <v>87</v>
      </c>
      <c r="D1012" s="4" t="s">
        <v>1214</v>
      </c>
      <c r="E1012" s="4" t="str">
        <f>IFERROR(VLOOKUP(G1012, 'Padronização'!A:C, 2, FALSE), "")</f>
        <v>❌</v>
      </c>
      <c r="F1012" s="23" t="str">
        <f>IFERROR(VLOOKUP(G1012, 'Padronização'!A:C, 3, FALSE), "")</f>
        <v>Não aborda cenário de crise ou desastre</v>
      </c>
      <c r="G1012" s="23" t="s">
        <v>31</v>
      </c>
      <c r="H1012" s="33"/>
    </row>
    <row r="1013" ht="22.5" hidden="1" customHeight="1">
      <c r="A1013" s="4" t="s">
        <v>823</v>
      </c>
      <c r="B1013" s="4">
        <v>2023.0</v>
      </c>
      <c r="C1013" s="4" t="s">
        <v>33</v>
      </c>
      <c r="D1013" s="4" t="s">
        <v>613</v>
      </c>
      <c r="E1013" s="4" t="str">
        <f>IFERROR(VLOOKUP(G1013, 'Padronização'!A:C, 2, FALSE), "")</f>
        <v>❌</v>
      </c>
      <c r="F1013" s="23" t="str">
        <f>IFERROR(VLOOKUP(G1013, 'Padronização'!A:C, 3, FALSE), "")</f>
        <v>Algoritmo técnico / MAS sem humano / otimização </v>
      </c>
      <c r="G1013" s="23" t="s">
        <v>15</v>
      </c>
      <c r="H1013" s="23" t="s">
        <v>302</v>
      </c>
    </row>
    <row r="1014" ht="22.5" hidden="1" customHeight="1">
      <c r="A1014" s="4" t="s">
        <v>823</v>
      </c>
      <c r="B1014" s="4">
        <v>2023.0</v>
      </c>
      <c r="C1014" s="4" t="s">
        <v>87</v>
      </c>
      <c r="D1014" s="4" t="s">
        <v>1215</v>
      </c>
      <c r="E1014" s="4" t="str">
        <f>IFERROR(VLOOKUP(G1014, 'Padronização'!A:C, 2, FALSE), "")</f>
        <v>⚠️</v>
      </c>
      <c r="F1014" s="23" t="str">
        <f>IFERROR(VLOOKUP(G1014, 'Padronização'!A:C, 3, FALSE), "")</f>
        <v>Emergência com evacuação específica</v>
      </c>
      <c r="G1014" s="23" t="s">
        <v>57</v>
      </c>
      <c r="H1014" s="33"/>
    </row>
    <row r="1015" ht="22.5" hidden="1" customHeight="1">
      <c r="A1015" s="4" t="s">
        <v>823</v>
      </c>
      <c r="B1015" s="4">
        <v>2023.0</v>
      </c>
      <c r="C1015" s="4" t="s">
        <v>33</v>
      </c>
      <c r="D1015" s="4" t="s">
        <v>1216</v>
      </c>
      <c r="E1015" s="4" t="str">
        <f>IFERROR(VLOOKUP(G1015, 'Padronização'!A:C, 2, FALSE), "")</f>
        <v>❌</v>
      </c>
      <c r="F1015" s="23" t="str">
        <f>IFERROR(VLOOKUP(G1015, 'Padronização'!A:C, 3, FALSE), "")</f>
        <v>Não aborda cenário de crise ou desastre</v>
      </c>
      <c r="G1015" s="23" t="s">
        <v>31</v>
      </c>
      <c r="H1015" s="33"/>
    </row>
    <row r="1016" ht="22.5" hidden="1" customHeight="1">
      <c r="A1016" s="4" t="s">
        <v>823</v>
      </c>
      <c r="B1016" s="4">
        <v>2023.0</v>
      </c>
      <c r="C1016" s="4" t="s">
        <v>87</v>
      </c>
      <c r="D1016" s="4" t="s">
        <v>1217</v>
      </c>
      <c r="E1016" s="4" t="str">
        <f>IFERROR(VLOOKUP(G1016, 'Padronização'!A:C, 2, FALSE), "")</f>
        <v>❌</v>
      </c>
      <c r="F1016" s="23" t="str">
        <f>IFERROR(VLOOKUP(G1016, 'Padronização'!A:C, 3, FALSE), "")</f>
        <v>Artigo metodológico genérico (framework, design, how-to)</v>
      </c>
      <c r="G1016" s="23" t="s">
        <v>27</v>
      </c>
      <c r="H1016" s="23" t="s">
        <v>302</v>
      </c>
    </row>
    <row r="1017" ht="22.5" hidden="1" customHeight="1">
      <c r="A1017" s="4" t="s">
        <v>823</v>
      </c>
      <c r="B1017" s="4">
        <v>2023.0</v>
      </c>
      <c r="C1017" s="4" t="s">
        <v>33</v>
      </c>
      <c r="D1017" s="4" t="s">
        <v>1218</v>
      </c>
      <c r="E1017" s="4" t="str">
        <f>IFERROR(VLOOKUP(G1017, 'Padronização'!A:C, 2, FALSE), "")</f>
        <v>❌</v>
      </c>
      <c r="F1017" s="23" t="str">
        <f>IFERROR(VLOOKUP(G1017, 'Padronização'!A:C, 3, FALSE), "")</f>
        <v>Artigo metodológico genérico (framework, design, how-to)</v>
      </c>
      <c r="G1017" s="23" t="s">
        <v>27</v>
      </c>
      <c r="H1017" s="23" t="s">
        <v>302</v>
      </c>
    </row>
    <row r="1018" ht="22.5" hidden="1" customHeight="1">
      <c r="A1018" s="4" t="s">
        <v>823</v>
      </c>
      <c r="B1018" s="4">
        <v>2023.0</v>
      </c>
      <c r="C1018" s="4" t="s">
        <v>87</v>
      </c>
      <c r="D1018" s="4" t="s">
        <v>510</v>
      </c>
      <c r="E1018" s="4" t="str">
        <f>IFERROR(VLOOKUP(G1018, 'Padronização'!A:C, 2, FALSE), "")</f>
        <v>✅</v>
      </c>
      <c r="F1018" s="23" t="str">
        <f>IFERROR(VLOOKUP(G1018, 'Padronização'!A:C, 3, FALSE), "")</f>
        <v>ABM/MAS aplicado à evacuação</v>
      </c>
      <c r="G1018" s="23" t="s">
        <v>45</v>
      </c>
      <c r="H1018" s="23" t="s">
        <v>302</v>
      </c>
    </row>
    <row r="1019" ht="22.5" hidden="1" customHeight="1">
      <c r="A1019" s="4" t="s">
        <v>823</v>
      </c>
      <c r="B1019" s="4">
        <v>2023.0</v>
      </c>
      <c r="C1019" s="4" t="s">
        <v>33</v>
      </c>
      <c r="D1019" s="4" t="s">
        <v>1219</v>
      </c>
      <c r="E1019" s="4" t="str">
        <f>IFERROR(VLOOKUP(G1019, 'Padronização'!A:C, 2, FALSE), "")</f>
        <v>❌</v>
      </c>
      <c r="F1019" s="23" t="str">
        <f>IFERROR(VLOOKUP(G1019, 'Padronização'!A:C, 3, FALSE), "")</f>
        <v>Não aborda cenário de crise ou desastre</v>
      </c>
      <c r="G1019" s="23" t="s">
        <v>31</v>
      </c>
      <c r="H1019" s="23" t="s">
        <v>302</v>
      </c>
    </row>
    <row r="1020" ht="22.5" hidden="1" customHeight="1">
      <c r="A1020" s="4" t="s">
        <v>823</v>
      </c>
      <c r="B1020" s="4">
        <v>2023.0</v>
      </c>
      <c r="C1020" s="4" t="s">
        <v>33</v>
      </c>
      <c r="D1020" s="4" t="s">
        <v>1220</v>
      </c>
      <c r="E1020" s="4" t="str">
        <f>IFERROR(VLOOKUP(G1020, 'Padronização'!A:C, 2, FALSE), "")</f>
        <v>❌</v>
      </c>
      <c r="F1020" s="23" t="str">
        <f>IFERROR(VLOOKUP(G1020, 'Padronização'!A:C, 3, FALSE), "")</f>
        <v>Emergência em saúde com foco operacional / Operação hospitalar</v>
      </c>
      <c r="G1020" s="23" t="s">
        <v>38</v>
      </c>
      <c r="H1020" s="33"/>
    </row>
    <row r="1021" ht="22.5" hidden="1" customHeight="1">
      <c r="A1021" s="4" t="s">
        <v>823</v>
      </c>
      <c r="B1021" s="4">
        <v>2023.0</v>
      </c>
      <c r="C1021" s="4" t="s">
        <v>33</v>
      </c>
      <c r="D1021" s="4" t="s">
        <v>679</v>
      </c>
      <c r="E1021" s="4" t="str">
        <f>IFERROR(VLOOKUP(G1021, 'Padronização'!A:C, 2, FALSE), "")</f>
        <v>✅</v>
      </c>
      <c r="F1021" s="23" t="str">
        <f>IFERROR(VLOOKUP(G1021, 'Padronização'!A:C, 3, FALSE), "")</f>
        <v>ABM/MAS focado em comportamento humano cognitivo</v>
      </c>
      <c r="G1021" s="23" t="s">
        <v>47</v>
      </c>
      <c r="H1021" s="23" t="s">
        <v>302</v>
      </c>
    </row>
    <row r="1022" ht="22.5" hidden="1" customHeight="1">
      <c r="A1022" s="4" t="s">
        <v>823</v>
      </c>
      <c r="B1022" s="4">
        <v>2023.0</v>
      </c>
      <c r="C1022" s="4" t="s">
        <v>33</v>
      </c>
      <c r="D1022" s="4" t="s">
        <v>460</v>
      </c>
      <c r="E1022" s="4" t="str">
        <f>IFERROR(VLOOKUP(G1022, 'Padronização'!A:C, 2, FALSE), "")</f>
        <v>✅</v>
      </c>
      <c r="F1022" s="23" t="str">
        <f>IFERROR(VLOOKUP(G1022, 'Padronização'!A:C, 3, FALSE), "")</f>
        <v>ABM/MAS focado em comportamento humano cognitivo</v>
      </c>
      <c r="G1022" s="23" t="s">
        <v>47</v>
      </c>
      <c r="H1022" s="23" t="s">
        <v>302</v>
      </c>
    </row>
    <row r="1023" ht="22.5" hidden="1" customHeight="1">
      <c r="A1023" s="4" t="s">
        <v>823</v>
      </c>
      <c r="B1023" s="4">
        <v>2022.0</v>
      </c>
      <c r="C1023" s="4" t="s">
        <v>87</v>
      </c>
      <c r="D1023" s="4" t="s">
        <v>887</v>
      </c>
      <c r="E1023" s="4" t="str">
        <f>IFERROR(VLOOKUP(G1023, 'Padronização'!A:C, 2, FALSE), "")</f>
        <v>❌</v>
      </c>
      <c r="F1023" s="23" t="str">
        <f>IFERROR(VLOOKUP(G1023, 'Padronização'!A:C, 3, FALSE), "")</f>
        <v>Emergência em saúde com foco operacional / Operação hospitalar</v>
      </c>
      <c r="G1023" s="23" t="s">
        <v>38</v>
      </c>
      <c r="H1023" s="23" t="s">
        <v>302</v>
      </c>
    </row>
    <row r="1024" ht="22.5" customHeight="1">
      <c r="A1024" s="4" t="s">
        <v>823</v>
      </c>
      <c r="B1024" s="4">
        <v>2022.0</v>
      </c>
      <c r="C1024" s="4" t="s">
        <v>87</v>
      </c>
      <c r="D1024" s="4" t="s">
        <v>862</v>
      </c>
      <c r="E1024" s="4" t="str">
        <f>IFERROR(VLOOKUP(G1024, 'Padronização'!A:C, 2, FALSE), "")</f>
        <v>✅</v>
      </c>
      <c r="F1024" s="23" t="str">
        <f>IFERROR(VLOOKUP(G1024, 'Padronização'!A:C, 3, FALSE), "")</f>
        <v>ABM/MAS aplicado à evacuação</v>
      </c>
      <c r="G1024" s="23" t="s">
        <v>45</v>
      </c>
      <c r="H1024" s="33"/>
    </row>
    <row r="1025" ht="22.5" hidden="1" customHeight="1">
      <c r="A1025" s="4" t="s">
        <v>823</v>
      </c>
      <c r="B1025" s="4">
        <v>2022.0</v>
      </c>
      <c r="C1025" s="4" t="s">
        <v>87</v>
      </c>
      <c r="D1025" s="4" t="s">
        <v>653</v>
      </c>
      <c r="E1025" s="4" t="str">
        <f>IFERROR(VLOOKUP(G1025, 'Padronização'!A:C, 2, FALSE), "")</f>
        <v>✅</v>
      </c>
      <c r="F1025" s="23" t="str">
        <f>IFERROR(VLOOKUP(G1025, 'Padronização'!A:C, 3, FALSE), "")</f>
        <v>ABM/MAS aplicado à evacuação</v>
      </c>
      <c r="G1025" s="23" t="s">
        <v>45</v>
      </c>
      <c r="H1025" s="23" t="s">
        <v>302</v>
      </c>
    </row>
    <row r="1026" ht="22.5" hidden="1" customHeight="1">
      <c r="A1026" s="4" t="s">
        <v>823</v>
      </c>
      <c r="B1026" s="4">
        <v>2022.0</v>
      </c>
      <c r="C1026" s="4" t="s">
        <v>87</v>
      </c>
      <c r="D1026" s="4" t="s">
        <v>1221</v>
      </c>
      <c r="E1026" s="4" t="str">
        <f>IFERROR(VLOOKUP(G1026, 'Padronização'!A:C, 2, FALSE), "")</f>
        <v>❌</v>
      </c>
      <c r="F1026" s="23" t="str">
        <f>IFERROR(VLOOKUP(G1026, 'Padronização'!A:C, 3, FALSE), "")</f>
        <v>Emergência em saúde com foco operacional / Operação hospitalar</v>
      </c>
      <c r="G1026" s="23" t="s">
        <v>38</v>
      </c>
      <c r="H1026" s="33"/>
    </row>
    <row r="1027" ht="22.5" hidden="1" customHeight="1">
      <c r="A1027" s="4" t="s">
        <v>823</v>
      </c>
      <c r="B1027" s="4">
        <v>2022.0</v>
      </c>
      <c r="C1027" s="4" t="s">
        <v>87</v>
      </c>
      <c r="D1027" s="4" t="s">
        <v>1222</v>
      </c>
      <c r="E1027" s="4" t="str">
        <f>IFERROR(VLOOKUP(G1027, 'Padronização'!A:C, 2, FALSE), "")</f>
        <v>❌</v>
      </c>
      <c r="F1027" s="23" t="str">
        <f>IFERROR(VLOOKUP(G1027, 'Padronização'!A:C, 3, FALSE), "")</f>
        <v>Supply chain / impacto econômico indireto</v>
      </c>
      <c r="G1027" s="23" t="s">
        <v>34</v>
      </c>
      <c r="H1027" s="33"/>
    </row>
    <row r="1028" ht="22.5" hidden="1" customHeight="1">
      <c r="A1028" s="4" t="s">
        <v>823</v>
      </c>
      <c r="B1028" s="4">
        <v>2022.0</v>
      </c>
      <c r="C1028" s="4" t="s">
        <v>87</v>
      </c>
      <c r="D1028" s="4" t="s">
        <v>1223</v>
      </c>
      <c r="E1028" s="4" t="str">
        <f>IFERROR(VLOOKUP(G1028, 'Padronização'!A:C, 2, FALSE), "")</f>
        <v>❌</v>
      </c>
      <c r="F1028" s="23" t="str">
        <f>IFERROR(VLOOKUP(G1028, 'Padronização'!A:C, 3, FALSE), "")</f>
        <v>Emergência em saúde com foco operacional / Operação hospitalar</v>
      </c>
      <c r="G1028" s="23" t="s">
        <v>38</v>
      </c>
      <c r="H1028" s="23" t="s">
        <v>302</v>
      </c>
    </row>
    <row r="1029" ht="22.5" hidden="1" customHeight="1">
      <c r="A1029" s="4" t="s">
        <v>823</v>
      </c>
      <c r="B1029" s="4">
        <v>2022.0</v>
      </c>
      <c r="C1029" s="4" t="s">
        <v>87</v>
      </c>
      <c r="D1029" s="4" t="s">
        <v>1224</v>
      </c>
      <c r="E1029" s="4" t="str">
        <f>IFERROR(VLOOKUP(G1029, 'Padronização'!A:C, 2, FALSE), "")</f>
        <v>❌</v>
      </c>
      <c r="F1029" s="23" t="str">
        <f>IFERROR(VLOOKUP(G1029, 'Padronização'!A:C, 3, FALSE), "")</f>
        <v>Não aborda cenário de crise ou desastre</v>
      </c>
      <c r="G1029" s="23" t="s">
        <v>31</v>
      </c>
      <c r="H1029" s="33"/>
    </row>
    <row r="1030" ht="22.5" hidden="1" customHeight="1">
      <c r="A1030" s="4" t="s">
        <v>823</v>
      </c>
      <c r="B1030" s="4">
        <v>2022.0</v>
      </c>
      <c r="C1030" s="4" t="s">
        <v>87</v>
      </c>
      <c r="D1030" s="4" t="s">
        <v>1225</v>
      </c>
      <c r="E1030" s="4" t="str">
        <f>IFERROR(VLOOKUP(G1030, 'Padronização'!A:C, 2, FALSE), "")</f>
        <v>❌</v>
      </c>
      <c r="F1030" s="23" t="str">
        <f>IFERROR(VLOOKUP(G1030, 'Padronização'!A:C, 3, FALSE), "")</f>
        <v>Algoritmo técnico / MAS sem humano / otimização </v>
      </c>
      <c r="G1030" s="23" t="s">
        <v>15</v>
      </c>
      <c r="H1030" s="33"/>
    </row>
    <row r="1031" ht="22.5" hidden="1" customHeight="1">
      <c r="A1031" s="4" t="s">
        <v>823</v>
      </c>
      <c r="B1031" s="4">
        <v>2022.0</v>
      </c>
      <c r="C1031" s="4" t="s">
        <v>87</v>
      </c>
      <c r="D1031" s="4" t="s">
        <v>1226</v>
      </c>
      <c r="E1031" s="4" t="str">
        <f>IFERROR(VLOOKUP(G1031, 'Padronização'!A:C, 2, FALSE), "")</f>
        <v>❌</v>
      </c>
      <c r="F1031" s="23" t="str">
        <f>IFERROR(VLOOKUP(G1031, 'Padronização'!A:C, 3, FALSE), "")</f>
        <v>Emergência em saúde com foco operacional / Operação hospitalar</v>
      </c>
      <c r="G1031" s="23" t="s">
        <v>38</v>
      </c>
      <c r="H1031" s="33"/>
    </row>
    <row r="1032" ht="22.5" hidden="1" customHeight="1">
      <c r="A1032" s="4" t="s">
        <v>823</v>
      </c>
      <c r="B1032" s="4">
        <v>2022.0</v>
      </c>
      <c r="C1032" s="4" t="s">
        <v>87</v>
      </c>
      <c r="D1032" s="4" t="s">
        <v>885</v>
      </c>
      <c r="E1032" s="4" t="str">
        <f>IFERROR(VLOOKUP(G1032, 'Padronização'!A:C, 2, FALSE), "")</f>
        <v>❌</v>
      </c>
      <c r="F1032" s="23" t="str">
        <f>IFERROR(VLOOKUP(G1032, 'Padronização'!A:C, 3, FALSE), "")</f>
        <v>Artigo metodológico genérico (framework, design, how-to)</v>
      </c>
      <c r="G1032" s="23" t="s">
        <v>27</v>
      </c>
      <c r="H1032" s="23" t="s">
        <v>302</v>
      </c>
    </row>
    <row r="1033" ht="22.5" hidden="1" customHeight="1">
      <c r="A1033" s="4" t="s">
        <v>823</v>
      </c>
      <c r="B1033" s="4">
        <v>2022.0</v>
      </c>
      <c r="C1033" s="4" t="s">
        <v>87</v>
      </c>
      <c r="D1033" s="4" t="s">
        <v>1227</v>
      </c>
      <c r="E1033" s="4" t="str">
        <f>IFERROR(VLOOKUP(G1033, 'Padronização'!A:C, 2, FALSE), "")</f>
        <v>❌</v>
      </c>
      <c r="F1033" s="23" t="str">
        <f>IFERROR(VLOOKUP(G1033, 'Padronização'!A:C, 3, FALSE), "")</f>
        <v>Emergência em saúde com foco operacional / Operação hospitalar</v>
      </c>
      <c r="G1033" s="23" t="s">
        <v>38</v>
      </c>
      <c r="H1033" s="33"/>
    </row>
    <row r="1034" ht="22.5" hidden="1" customHeight="1">
      <c r="A1034" s="4" t="s">
        <v>823</v>
      </c>
      <c r="B1034" s="4">
        <v>2022.0</v>
      </c>
      <c r="C1034" s="4" t="s">
        <v>87</v>
      </c>
      <c r="D1034" s="4" t="s">
        <v>1228</v>
      </c>
      <c r="E1034" s="4" t="str">
        <f>IFERROR(VLOOKUP(G1034, 'Padronização'!A:C, 2, FALSE), "")</f>
        <v>❌</v>
      </c>
      <c r="F1034" s="23" t="str">
        <f>IFERROR(VLOOKUP(G1034, 'Padronização'!A:C, 3, FALSE), "")</f>
        <v>Emergência em saúde com foco operacional / Operação hospitalar</v>
      </c>
      <c r="G1034" s="23" t="s">
        <v>38</v>
      </c>
      <c r="H1034" s="33"/>
    </row>
    <row r="1035" ht="22.5" hidden="1" customHeight="1">
      <c r="A1035" s="4" t="s">
        <v>823</v>
      </c>
      <c r="B1035" s="4">
        <v>2022.0</v>
      </c>
      <c r="C1035" s="4" t="s">
        <v>87</v>
      </c>
      <c r="D1035" s="4" t="s">
        <v>1229</v>
      </c>
      <c r="E1035" s="4" t="str">
        <f>IFERROR(VLOOKUP(G1035, 'Padronização'!A:C, 2, FALSE), "")</f>
        <v>❌</v>
      </c>
      <c r="F1035" s="23" t="str">
        <f>IFERROR(VLOOKUP(G1035, 'Padronização'!A:C, 3, FALSE), "")</f>
        <v>Energia, grid, V2G; crise tratada como operação técnica</v>
      </c>
      <c r="G1035" s="23" t="s">
        <v>12</v>
      </c>
      <c r="H1035" s="23" t="s">
        <v>302</v>
      </c>
    </row>
    <row r="1036" ht="22.5" hidden="1" customHeight="1">
      <c r="A1036" s="4" t="s">
        <v>823</v>
      </c>
      <c r="B1036" s="4">
        <v>2022.0</v>
      </c>
      <c r="C1036" s="4" t="s">
        <v>87</v>
      </c>
      <c r="D1036" s="4" t="s">
        <v>668</v>
      </c>
      <c r="E1036" s="4" t="str">
        <f>IFERROR(VLOOKUP(G1036, 'Padronização'!A:C, 2, FALSE), "")</f>
        <v>✅</v>
      </c>
      <c r="F1036" s="23" t="str">
        <f>IFERROR(VLOOKUP(G1036, 'Padronização'!A:C, 3, FALSE), "")</f>
        <v>ABM/MAS aplicado à evacuação</v>
      </c>
      <c r="G1036" s="23" t="s">
        <v>45</v>
      </c>
      <c r="H1036" s="23" t="s">
        <v>302</v>
      </c>
    </row>
    <row r="1037" ht="22.5" hidden="1" customHeight="1">
      <c r="A1037" s="4" t="s">
        <v>823</v>
      </c>
      <c r="B1037" s="4">
        <v>2022.0</v>
      </c>
      <c r="C1037" s="4" t="s">
        <v>33</v>
      </c>
      <c r="D1037" s="4" t="s">
        <v>1230</v>
      </c>
      <c r="E1037" s="4" t="str">
        <f>IFERROR(VLOOKUP(G1037, 'Padronização'!A:C, 2, FALSE), "")</f>
        <v>✅</v>
      </c>
      <c r="F1037" s="23" t="str">
        <f>IFERROR(VLOOKUP(G1037, 'Padronização'!A:C, 3, FALSE), "")</f>
        <v>ABM/MAS aplicado à evacuação</v>
      </c>
      <c r="G1037" s="23" t="s">
        <v>45</v>
      </c>
      <c r="H1037" s="23" t="s">
        <v>302</v>
      </c>
    </row>
    <row r="1038" ht="22.5" hidden="1" customHeight="1">
      <c r="A1038" s="4" t="s">
        <v>823</v>
      </c>
      <c r="B1038" s="4">
        <v>2022.0</v>
      </c>
      <c r="C1038" s="4" t="s">
        <v>87</v>
      </c>
      <c r="D1038" s="4" t="s">
        <v>1231</v>
      </c>
      <c r="E1038" s="4" t="str">
        <f>IFERROR(VLOOKUP(G1038, 'Padronização'!A:C, 2, FALSE), "")</f>
        <v>❌</v>
      </c>
      <c r="F1038" s="23" t="str">
        <f>IFERROR(VLOOKUP(G1038, 'Padronização'!A:C, 3, FALSE), "")</f>
        <v>Artigo metodológico genérico (framework, design, how-to)</v>
      </c>
      <c r="G1038" s="23" t="s">
        <v>27</v>
      </c>
      <c r="H1038" s="23" t="s">
        <v>302</v>
      </c>
    </row>
    <row r="1039" ht="22.5" hidden="1" customHeight="1">
      <c r="A1039" s="4" t="s">
        <v>823</v>
      </c>
      <c r="B1039" s="4">
        <v>2022.0</v>
      </c>
      <c r="C1039" s="4" t="s">
        <v>87</v>
      </c>
      <c r="D1039" s="4" t="s">
        <v>1232</v>
      </c>
      <c r="E1039" s="4" t="str">
        <f>IFERROR(VLOOKUP(G1039, 'Padronização'!A:C, 2, FALSE), "")</f>
        <v>❌</v>
      </c>
      <c r="F1039" s="23" t="str">
        <f>IFERROR(VLOOKUP(G1039, 'Padronização'!A:C, 3, FALSE), "")</f>
        <v>Telecomunicações emergenciais / alocação de rede; foco técnico</v>
      </c>
      <c r="G1039" s="23" t="s">
        <v>5</v>
      </c>
      <c r="H1039" s="23" t="s">
        <v>302</v>
      </c>
    </row>
    <row r="1040" ht="22.5" hidden="1" customHeight="1">
      <c r="A1040" s="4" t="s">
        <v>823</v>
      </c>
      <c r="B1040" s="4">
        <v>2022.0</v>
      </c>
      <c r="C1040" s="4" t="s">
        <v>87</v>
      </c>
      <c r="D1040" s="4" t="s">
        <v>1233</v>
      </c>
      <c r="E1040" s="4" t="str">
        <f>IFERROR(VLOOKUP(G1040, 'Padronização'!A:C, 2, FALSE), "")</f>
        <v>❌</v>
      </c>
      <c r="F1040" s="23" t="str">
        <f>IFERROR(VLOOKUP(G1040, 'Padronização'!A:C, 3, FALSE), "")</f>
        <v>Algoritmo técnico / MAS sem humano / otimização </v>
      </c>
      <c r="G1040" s="23" t="s">
        <v>15</v>
      </c>
      <c r="H1040" s="33"/>
    </row>
    <row r="1041" ht="22.5" hidden="1" customHeight="1">
      <c r="A1041" s="4" t="s">
        <v>823</v>
      </c>
      <c r="B1041" s="4">
        <v>2022.0</v>
      </c>
      <c r="C1041" s="4" t="s">
        <v>87</v>
      </c>
      <c r="D1041" s="4" t="s">
        <v>903</v>
      </c>
      <c r="E1041" s="4" t="str">
        <f>IFERROR(VLOOKUP(G1041, 'Padronização'!A:C, 2, FALSE), "")</f>
        <v>❌</v>
      </c>
      <c r="F1041" s="23" t="str">
        <f>IFERROR(VLOOKUP(G1041, 'Padronização'!A:C, 3, FALSE), "")</f>
        <v>Não aborda cenário de crise ou desastre</v>
      </c>
      <c r="G1041" s="23" t="s">
        <v>31</v>
      </c>
      <c r="H1041" s="23" t="s">
        <v>302</v>
      </c>
    </row>
    <row r="1042" ht="22.5" hidden="1" customHeight="1">
      <c r="A1042" s="4" t="s">
        <v>823</v>
      </c>
      <c r="B1042" s="4">
        <v>2022.0</v>
      </c>
      <c r="C1042" s="4" t="s">
        <v>87</v>
      </c>
      <c r="D1042" s="4" t="s">
        <v>1234</v>
      </c>
      <c r="E1042" s="4" t="str">
        <f>IFERROR(VLOOKUP(G1042, 'Padronização'!A:C, 2, FALSE), "")</f>
        <v>❌</v>
      </c>
      <c r="F1042" s="23" t="str">
        <f>IFERROR(VLOOKUP(G1042, 'Padronização'!A:C, 3, FALSE), "")</f>
        <v>Não aborda cenário de crise ou desastre</v>
      </c>
      <c r="G1042" s="23" t="s">
        <v>31</v>
      </c>
      <c r="H1042" s="33"/>
    </row>
    <row r="1043" ht="22.5" hidden="1" customHeight="1">
      <c r="A1043" s="4" t="s">
        <v>823</v>
      </c>
      <c r="B1043" s="4">
        <v>2022.0</v>
      </c>
      <c r="C1043" s="4" t="s">
        <v>33</v>
      </c>
      <c r="D1043" s="4" t="s">
        <v>1235</v>
      </c>
      <c r="E1043" s="4" t="str">
        <f>IFERROR(VLOOKUP(G1043, 'Padronização'!A:C, 2, FALSE), "")</f>
        <v>✅</v>
      </c>
      <c r="F1043" s="23" t="str">
        <f>IFERROR(VLOOKUP(G1043, 'Padronização'!A:C, 3, FALSE), "")</f>
        <v>ABM/MAS aplicado à evacuação</v>
      </c>
      <c r="G1043" s="23" t="s">
        <v>45</v>
      </c>
      <c r="H1043" s="23" t="s">
        <v>302</v>
      </c>
    </row>
    <row r="1044" ht="22.5" hidden="1" customHeight="1">
      <c r="A1044" s="4" t="s">
        <v>823</v>
      </c>
      <c r="B1044" s="4">
        <v>2022.0</v>
      </c>
      <c r="C1044" s="4" t="s">
        <v>33</v>
      </c>
      <c r="D1044" s="4" t="s">
        <v>1236</v>
      </c>
      <c r="E1044" s="4" t="str">
        <f>IFERROR(VLOOKUP(G1044, 'Padronização'!A:C, 2, FALSE), "")</f>
        <v>❌</v>
      </c>
      <c r="F1044" s="23" t="str">
        <f>IFERROR(VLOOKUP(G1044, 'Padronização'!A:C, 3, FALSE), "")</f>
        <v>Não aborda cenário de crise ou desastre</v>
      </c>
      <c r="G1044" s="23" t="s">
        <v>31</v>
      </c>
      <c r="H1044" s="33"/>
    </row>
    <row r="1045" ht="22.5" hidden="1" customHeight="1">
      <c r="A1045" s="4" t="s">
        <v>823</v>
      </c>
      <c r="B1045" s="4">
        <v>2022.0</v>
      </c>
      <c r="C1045" s="4" t="s">
        <v>33</v>
      </c>
      <c r="D1045" s="4" t="s">
        <v>1237</v>
      </c>
      <c r="E1045" s="4" t="str">
        <f>IFERROR(VLOOKUP(G1045, 'Padronização'!A:C, 2, FALSE), "")</f>
        <v>⚠️</v>
      </c>
      <c r="F1045" s="23" t="str">
        <f>IFERROR(VLOOKUP(G1045, 'Padronização'!A:C, 3, FALSE), "")</f>
        <v>Emergência com evacuação específica</v>
      </c>
      <c r="G1045" s="23" t="s">
        <v>57</v>
      </c>
      <c r="H1045" s="33"/>
    </row>
    <row r="1046" ht="22.5" hidden="1" customHeight="1">
      <c r="A1046" s="4" t="s">
        <v>823</v>
      </c>
      <c r="B1046" s="4">
        <v>2021.0</v>
      </c>
      <c r="C1046" s="4" t="s">
        <v>87</v>
      </c>
      <c r="D1046" s="4" t="s">
        <v>1238</v>
      </c>
      <c r="E1046" s="4" t="str">
        <f>IFERROR(VLOOKUP(G1046, 'Padronização'!A:C, 2, FALSE), "")</f>
        <v>❌</v>
      </c>
      <c r="F1046" s="23" t="str">
        <f>IFERROR(VLOOKUP(G1046, 'Padronização'!A:C, 3, FALSE), "")</f>
        <v>Emergência em saúde com foco operacional / Operação hospitalar</v>
      </c>
      <c r="G1046" s="23" t="s">
        <v>38</v>
      </c>
      <c r="H1046" s="33"/>
    </row>
    <row r="1047" ht="22.5" hidden="1" customHeight="1">
      <c r="A1047" s="4" t="s">
        <v>823</v>
      </c>
      <c r="B1047" s="4">
        <v>2021.0</v>
      </c>
      <c r="C1047" s="4" t="s">
        <v>87</v>
      </c>
      <c r="D1047" s="4" t="s">
        <v>1239</v>
      </c>
      <c r="E1047" s="4" t="str">
        <f>IFERROR(VLOOKUP(G1047, 'Padronização'!A:C, 2, FALSE), "")</f>
        <v>❌</v>
      </c>
      <c r="F1047" s="23" t="str">
        <f>IFERROR(VLOOKUP(G1047, 'Padronização'!A:C, 3, FALSE), "")</f>
        <v>Emergência em saúde com foco operacional / Operação hospitalar</v>
      </c>
      <c r="G1047" s="23" t="s">
        <v>38</v>
      </c>
      <c r="H1047" s="33"/>
    </row>
    <row r="1048" ht="22.5" hidden="1" customHeight="1">
      <c r="A1048" s="4" t="s">
        <v>823</v>
      </c>
      <c r="B1048" s="4">
        <v>2021.0</v>
      </c>
      <c r="C1048" s="4" t="s">
        <v>87</v>
      </c>
      <c r="D1048" s="4" t="s">
        <v>983</v>
      </c>
      <c r="E1048" s="4" t="str">
        <f>IFERROR(VLOOKUP(G1048, 'Padronização'!A:C, 2, FALSE), "")</f>
        <v>❌</v>
      </c>
      <c r="F1048" s="23" t="str">
        <f>IFERROR(VLOOKUP(G1048, 'Padronização'!A:C, 3, FALSE), "")</f>
        <v>Emergência em saúde com foco operacional / Operação hospitalar</v>
      </c>
      <c r="G1048" s="23" t="s">
        <v>38</v>
      </c>
      <c r="H1048" s="23" t="s">
        <v>302</v>
      </c>
    </row>
    <row r="1049" ht="22.5" hidden="1" customHeight="1">
      <c r="A1049" s="4" t="s">
        <v>823</v>
      </c>
      <c r="B1049" s="4">
        <v>2021.0</v>
      </c>
      <c r="C1049" s="4" t="s">
        <v>87</v>
      </c>
      <c r="D1049" s="4" t="s">
        <v>1240</v>
      </c>
      <c r="E1049" s="4" t="str">
        <f>IFERROR(VLOOKUP(G1049, 'Padronização'!A:C, 2, FALSE), "")</f>
        <v>❌</v>
      </c>
      <c r="F1049" s="23" t="str">
        <f>IFERROR(VLOOKUP(G1049, 'Padronização'!A:C, 3, FALSE), "")</f>
        <v>Artigo metodológico genérico (framework, design, how-to)</v>
      </c>
      <c r="G1049" s="23" t="s">
        <v>27</v>
      </c>
      <c r="H1049" s="23" t="s">
        <v>302</v>
      </c>
    </row>
    <row r="1050" ht="22.5" hidden="1" customHeight="1">
      <c r="A1050" s="4" t="s">
        <v>823</v>
      </c>
      <c r="B1050" s="4">
        <v>2021.0</v>
      </c>
      <c r="C1050" s="4" t="s">
        <v>87</v>
      </c>
      <c r="D1050" s="4" t="s">
        <v>1241</v>
      </c>
      <c r="E1050" s="4" t="str">
        <f>IFERROR(VLOOKUP(G1050, 'Padronização'!A:C, 2, FALSE), "")</f>
        <v>❌</v>
      </c>
      <c r="F1050" s="23" t="str">
        <f>IFERROR(VLOOKUP(G1050, 'Padronização'!A:C, 3, FALSE), "")</f>
        <v>Supply chain / impacto econômico indireto</v>
      </c>
      <c r="G1050" s="23" t="s">
        <v>34</v>
      </c>
      <c r="H1050" s="33"/>
    </row>
    <row r="1051" ht="22.5" hidden="1" customHeight="1">
      <c r="A1051" s="4" t="s">
        <v>823</v>
      </c>
      <c r="B1051" s="4">
        <v>2021.0</v>
      </c>
      <c r="C1051" s="4" t="s">
        <v>87</v>
      </c>
      <c r="D1051" s="4" t="s">
        <v>989</v>
      </c>
      <c r="E1051" s="4" t="str">
        <f>IFERROR(VLOOKUP(G1051, 'Padronização'!A:C, 2, FALSE), "")</f>
        <v>❌</v>
      </c>
      <c r="F1051" s="23" t="str">
        <f>IFERROR(VLOOKUP(G1051, 'Padronização'!A:C, 3, FALSE), "")</f>
        <v>Artigo metodológico genérico (framework, design, how-to)</v>
      </c>
      <c r="G1051" s="23" t="s">
        <v>27</v>
      </c>
      <c r="H1051" s="23" t="s">
        <v>302</v>
      </c>
    </row>
    <row r="1052" ht="22.5" hidden="1" customHeight="1">
      <c r="A1052" s="4" t="s">
        <v>823</v>
      </c>
      <c r="B1052" s="4">
        <v>2021.0</v>
      </c>
      <c r="C1052" s="4" t="s">
        <v>87</v>
      </c>
      <c r="D1052" s="4" t="s">
        <v>1242</v>
      </c>
      <c r="E1052" s="4" t="str">
        <f>IFERROR(VLOOKUP(G1052, 'Padronização'!A:C, 2, FALSE), "")</f>
        <v>❌</v>
      </c>
      <c r="F1052" s="23" t="str">
        <f>IFERROR(VLOOKUP(G1052, 'Padronização'!A:C, 3, FALSE), "")</f>
        <v>Telecomunicações emergenciais / alocação de rede; foco técnico</v>
      </c>
      <c r="G1052" s="23" t="s">
        <v>5</v>
      </c>
      <c r="H1052" s="23" t="s">
        <v>302</v>
      </c>
    </row>
    <row r="1053" ht="22.5" hidden="1" customHeight="1">
      <c r="A1053" s="4" t="s">
        <v>823</v>
      </c>
      <c r="B1053" s="4">
        <v>2021.0</v>
      </c>
      <c r="C1053" s="4" t="s">
        <v>87</v>
      </c>
      <c r="D1053" s="4" t="s">
        <v>1243</v>
      </c>
      <c r="E1053" s="4" t="str">
        <f>IFERROR(VLOOKUP(G1053, 'Padronização'!A:C, 2, FALSE), "")</f>
        <v>❌</v>
      </c>
      <c r="F1053" s="23" t="str">
        <f>IFERROR(VLOOKUP(G1053, 'Padronização'!A:C, 3, FALSE), "")</f>
        <v>Emergência em saúde com foco operacional / Operação hospitalar</v>
      </c>
      <c r="G1053" s="23" t="s">
        <v>38</v>
      </c>
      <c r="H1053" s="33"/>
    </row>
    <row r="1054" ht="22.5" hidden="1" customHeight="1">
      <c r="A1054" s="4" t="s">
        <v>823</v>
      </c>
      <c r="B1054" s="4">
        <v>2021.0</v>
      </c>
      <c r="C1054" s="4" t="s">
        <v>87</v>
      </c>
      <c r="D1054" s="4" t="s">
        <v>1244</v>
      </c>
      <c r="E1054" s="4" t="str">
        <f>IFERROR(VLOOKUP(G1054, 'Padronização'!A:C, 2, FALSE), "")</f>
        <v>❌</v>
      </c>
      <c r="F1054" s="23" t="str">
        <f>IFERROR(VLOOKUP(G1054, 'Padronização'!A:C, 3, FALSE), "")</f>
        <v>Energia, grid, V2G; crise tratada como operação técnica</v>
      </c>
      <c r="G1054" s="23" t="s">
        <v>12</v>
      </c>
      <c r="H1054" s="33"/>
    </row>
    <row r="1055" ht="22.5" hidden="1" customHeight="1">
      <c r="A1055" s="4" t="s">
        <v>823</v>
      </c>
      <c r="B1055" s="4">
        <v>2021.0</v>
      </c>
      <c r="C1055" s="4" t="s">
        <v>87</v>
      </c>
      <c r="D1055" s="4" t="s">
        <v>990</v>
      </c>
      <c r="E1055" s="4" t="str">
        <f>IFERROR(VLOOKUP(G1055, 'Padronização'!A:C, 2, FALSE), "")</f>
        <v>❌</v>
      </c>
      <c r="F1055" s="23" t="str">
        <f>IFERROR(VLOOKUP(G1055, 'Padronização'!A:C, 3, FALSE), "")</f>
        <v>Artigo metodológico genérico (framework, design, how-to)</v>
      </c>
      <c r="G1055" s="23" t="s">
        <v>27</v>
      </c>
      <c r="H1055" s="23" t="s">
        <v>302</v>
      </c>
    </row>
    <row r="1056" ht="22.5" hidden="1" customHeight="1">
      <c r="A1056" s="4" t="s">
        <v>823</v>
      </c>
      <c r="B1056" s="4">
        <v>2021.0</v>
      </c>
      <c r="C1056" s="4" t="s">
        <v>87</v>
      </c>
      <c r="D1056" s="4" t="s">
        <v>984</v>
      </c>
      <c r="E1056" s="4" t="str">
        <f>IFERROR(VLOOKUP(G1056, 'Padronização'!A:C, 2, FALSE), "")</f>
        <v>⚠️</v>
      </c>
      <c r="F1056" s="23" t="str">
        <f>IFERROR(VLOOKUP(G1056, 'Padronização'!A:C, 3, FALSE), "")</f>
        <v>Emergência com evacuação específica</v>
      </c>
      <c r="G1056" s="23" t="s">
        <v>57</v>
      </c>
      <c r="H1056" s="23" t="s">
        <v>302</v>
      </c>
    </row>
    <row r="1057" ht="22.5" hidden="1" customHeight="1">
      <c r="A1057" s="4" t="s">
        <v>823</v>
      </c>
      <c r="B1057" s="4">
        <v>2021.0</v>
      </c>
      <c r="C1057" s="4" t="s">
        <v>87</v>
      </c>
      <c r="D1057" s="4" t="s">
        <v>1245</v>
      </c>
      <c r="E1057" s="4" t="str">
        <f>IFERROR(VLOOKUP(G1057, 'Padronização'!A:C, 2, FALSE), "")</f>
        <v>❌</v>
      </c>
      <c r="F1057" s="23" t="str">
        <f>IFERROR(VLOOKUP(G1057, 'Padronização'!A:C, 3, FALSE), "")</f>
        <v>Emergência em saúde com foco operacional / Operação hospitalar</v>
      </c>
      <c r="G1057" s="23" t="s">
        <v>38</v>
      </c>
      <c r="H1057" s="33"/>
    </row>
    <row r="1058" ht="22.5" hidden="1" customHeight="1">
      <c r="A1058" s="4" t="s">
        <v>823</v>
      </c>
      <c r="B1058" s="4">
        <v>2021.0</v>
      </c>
      <c r="C1058" s="4" t="s">
        <v>87</v>
      </c>
      <c r="D1058" s="4" t="s">
        <v>1246</v>
      </c>
      <c r="E1058" s="4" t="str">
        <f>IFERROR(VLOOKUP(G1058, 'Padronização'!A:C, 2, FALSE), "")</f>
        <v>❌</v>
      </c>
      <c r="F1058" s="23" t="str">
        <f>IFERROR(VLOOKUP(G1058, 'Padronização'!A:C, 3, FALSE), "")</f>
        <v>Artigo metodológico genérico (framework, design, how-to)</v>
      </c>
      <c r="G1058" s="23" t="s">
        <v>27</v>
      </c>
      <c r="H1058" s="33"/>
    </row>
    <row r="1059" ht="22.5" hidden="1" customHeight="1">
      <c r="A1059" s="4" t="s">
        <v>823</v>
      </c>
      <c r="B1059" s="4">
        <v>2021.0</v>
      </c>
      <c r="C1059" s="4" t="s">
        <v>33</v>
      </c>
      <c r="D1059" s="4" t="s">
        <v>1247</v>
      </c>
      <c r="E1059" s="4" t="str">
        <f>IFERROR(VLOOKUP(G1059, 'Padronização'!A:C, 2, FALSE), "")</f>
        <v>⚠️</v>
      </c>
      <c r="F1059" s="23" t="str">
        <f>IFERROR(VLOOKUP(G1059, 'Padronização'!A:C, 3, FALSE), "")</f>
        <v>Emergência com evacuação específica</v>
      </c>
      <c r="G1059" s="23" t="s">
        <v>57</v>
      </c>
      <c r="H1059" s="33"/>
    </row>
    <row r="1060" ht="22.5" hidden="1" customHeight="1">
      <c r="A1060" s="4" t="s">
        <v>823</v>
      </c>
      <c r="B1060" s="4">
        <v>2021.0</v>
      </c>
      <c r="C1060" s="4" t="s">
        <v>33</v>
      </c>
      <c r="D1060" s="4" t="s">
        <v>1248</v>
      </c>
      <c r="E1060" s="4" t="str">
        <f>IFERROR(VLOOKUP(G1060, 'Padronização'!A:C, 2, FALSE), "")</f>
        <v>❌</v>
      </c>
      <c r="F1060" s="23" t="str">
        <f>IFERROR(VLOOKUP(G1060, 'Padronização'!A:C, 3, FALSE), "")</f>
        <v>Emergência em saúde com foco operacional / Operação hospitalar</v>
      </c>
      <c r="G1060" s="23" t="s">
        <v>38</v>
      </c>
      <c r="H1060" s="33"/>
    </row>
    <row r="1061" ht="22.5" hidden="1" customHeight="1">
      <c r="A1061" s="4" t="s">
        <v>823</v>
      </c>
      <c r="B1061" s="4">
        <v>2021.0</v>
      </c>
      <c r="C1061" s="4" t="s">
        <v>87</v>
      </c>
      <c r="D1061" s="4" t="s">
        <v>1249</v>
      </c>
      <c r="E1061" s="4" t="str">
        <f>IFERROR(VLOOKUP(G1061, 'Padronização'!A:C, 2, FALSE), "")</f>
        <v>⚠️</v>
      </c>
      <c r="F1061" s="23" t="str">
        <f>IFERROR(VLOOKUP(G1061, 'Padronização'!A:C, 3, FALSE), "")</f>
        <v>Emergência com evacuação específica</v>
      </c>
      <c r="G1061" s="23" t="s">
        <v>57</v>
      </c>
      <c r="H1061" s="23" t="s">
        <v>302</v>
      </c>
    </row>
    <row r="1062" ht="22.5" customHeight="1">
      <c r="A1062" s="4" t="s">
        <v>823</v>
      </c>
      <c r="B1062" s="4">
        <v>2021.0</v>
      </c>
      <c r="C1062" s="4" t="s">
        <v>33</v>
      </c>
      <c r="D1062" s="4" t="s">
        <v>865</v>
      </c>
      <c r="E1062" s="4" t="str">
        <f>IFERROR(VLOOKUP(G1062, 'Padronização'!A:C, 2, FALSE), "")</f>
        <v>✅</v>
      </c>
      <c r="F1062" s="23" t="str">
        <f>IFERROR(VLOOKUP(G1062, 'Padronização'!A:C, 3, FALSE), "")</f>
        <v>ABM/MAS focado em comportamento humano cognitivo</v>
      </c>
      <c r="G1062" s="23" t="s">
        <v>47</v>
      </c>
      <c r="H1062" s="33"/>
    </row>
    <row r="1063" ht="22.5" customHeight="1">
      <c r="A1063" s="4" t="s">
        <v>823</v>
      </c>
      <c r="B1063" s="4">
        <v>2021.0</v>
      </c>
      <c r="C1063" s="4" t="s">
        <v>33</v>
      </c>
      <c r="D1063" s="4" t="s">
        <v>866</v>
      </c>
      <c r="E1063" s="4" t="str">
        <f>IFERROR(VLOOKUP(G1063, 'Padronização'!A:C, 2, FALSE), "")</f>
        <v>✅</v>
      </c>
      <c r="F1063" s="23" t="str">
        <f>IFERROR(VLOOKUP(G1063, 'Padronização'!A:C, 3, FALSE), "")</f>
        <v>ABM/MAS aplicado à evacuação</v>
      </c>
      <c r="G1063" s="23" t="s">
        <v>45</v>
      </c>
      <c r="H1063" s="33"/>
    </row>
    <row r="1064" ht="22.5" hidden="1" customHeight="1">
      <c r="A1064" s="4" t="s">
        <v>823</v>
      </c>
      <c r="B1064" s="4">
        <v>2020.0</v>
      </c>
      <c r="C1064" s="4" t="s">
        <v>87</v>
      </c>
      <c r="D1064" s="4" t="s">
        <v>1250</v>
      </c>
      <c r="E1064" s="4" t="str">
        <f>IFERROR(VLOOKUP(G1064, 'Padronização'!A:C, 2, FALSE), "")</f>
        <v>❌</v>
      </c>
      <c r="F1064" s="23" t="str">
        <f>IFERROR(VLOOKUP(G1064, 'Padronização'!A:C, 3, FALSE), "")</f>
        <v>Supply chain / impacto econômico indireto</v>
      </c>
      <c r="G1064" s="23" t="s">
        <v>34</v>
      </c>
      <c r="H1064" s="33"/>
    </row>
    <row r="1065" ht="22.5" hidden="1" customHeight="1">
      <c r="A1065" s="4" t="s">
        <v>823</v>
      </c>
      <c r="B1065" s="4">
        <v>2020.0</v>
      </c>
      <c r="C1065" s="4" t="s">
        <v>87</v>
      </c>
      <c r="D1065" s="4" t="s">
        <v>1251</v>
      </c>
      <c r="E1065" s="4" t="str">
        <f>IFERROR(VLOOKUP(G1065, 'Padronização'!A:C, 2, FALSE), "")</f>
        <v>❌</v>
      </c>
      <c r="F1065" s="23" t="str">
        <f>IFERROR(VLOOKUP(G1065, 'Padronização'!A:C, 3, FALSE), "")</f>
        <v>Emergência em saúde com foco operacional / Operação hospitalar</v>
      </c>
      <c r="G1065" s="23" t="s">
        <v>38</v>
      </c>
      <c r="H1065" s="33"/>
    </row>
    <row r="1066" ht="22.5" hidden="1" customHeight="1">
      <c r="A1066" s="4" t="s">
        <v>823</v>
      </c>
      <c r="B1066" s="4">
        <v>2020.0</v>
      </c>
      <c r="C1066" s="4" t="s">
        <v>87</v>
      </c>
      <c r="D1066" s="4" t="s">
        <v>1252</v>
      </c>
      <c r="E1066" s="4" t="str">
        <f>IFERROR(VLOOKUP(G1066, 'Padronização'!A:C, 2, FALSE), "")</f>
        <v>⚠️</v>
      </c>
      <c r="F1066" s="23" t="str">
        <f>IFERROR(VLOOKUP(G1066, 'Padronização'!A:C, 3, FALSE), "")</f>
        <v>Emergência com evacuação específica</v>
      </c>
      <c r="G1066" s="23" t="s">
        <v>57</v>
      </c>
      <c r="H1066" s="23" t="s">
        <v>302</v>
      </c>
    </row>
    <row r="1067" ht="22.5" hidden="1" customHeight="1">
      <c r="A1067" s="4" t="s">
        <v>823</v>
      </c>
      <c r="B1067" s="4">
        <v>2020.0</v>
      </c>
      <c r="C1067" s="4" t="s">
        <v>87</v>
      </c>
      <c r="D1067" s="4" t="s">
        <v>1039</v>
      </c>
      <c r="E1067" s="4" t="str">
        <f>IFERROR(VLOOKUP(G1067, 'Padronização'!A:C, 2, FALSE), "")</f>
        <v>❌</v>
      </c>
      <c r="F1067" s="23" t="str">
        <f>IFERROR(VLOOKUP(G1067, 'Padronização'!A:C, 3, FALSE), "")</f>
        <v>Emergência em saúde com foco operacional / Operação hospitalar</v>
      </c>
      <c r="G1067" s="23" t="s">
        <v>38</v>
      </c>
      <c r="H1067" s="23" t="s">
        <v>302</v>
      </c>
    </row>
    <row r="1068" ht="22.5" hidden="1" customHeight="1">
      <c r="A1068" s="4" t="s">
        <v>823</v>
      </c>
      <c r="B1068" s="4">
        <v>2020.0</v>
      </c>
      <c r="C1068" s="4" t="s">
        <v>87</v>
      </c>
      <c r="D1068" s="4" t="s">
        <v>1253</v>
      </c>
      <c r="E1068" s="4" t="str">
        <f>IFERROR(VLOOKUP(G1068, 'Padronização'!A:C, 2, FALSE), "")</f>
        <v>⚠️</v>
      </c>
      <c r="F1068" s="23" t="str">
        <f>IFERROR(VLOOKUP(G1068, 'Padronização'!A:C, 3, FALSE), "")</f>
        <v>Crise explícita com foco em infraestrutura</v>
      </c>
      <c r="G1068" s="23" t="s">
        <v>40</v>
      </c>
      <c r="H1068" s="23" t="s">
        <v>302</v>
      </c>
    </row>
    <row r="1069" ht="22.5" hidden="1" customHeight="1">
      <c r="A1069" s="4" t="s">
        <v>823</v>
      </c>
      <c r="B1069" s="4">
        <v>2020.0</v>
      </c>
      <c r="C1069" s="4" t="s">
        <v>87</v>
      </c>
      <c r="D1069" s="4" t="s">
        <v>1254</v>
      </c>
      <c r="E1069" s="4" t="str">
        <f>IFERROR(VLOOKUP(G1069, 'Padronização'!A:C, 2, FALSE), "")</f>
        <v>❌</v>
      </c>
      <c r="F1069" s="23" t="str">
        <f>IFERROR(VLOOKUP(G1069, 'Padronização'!A:C, 3, FALSE), "")</f>
        <v>Emergência em saúde com foco operacional / Operação hospitalar</v>
      </c>
      <c r="G1069" s="23" t="s">
        <v>38</v>
      </c>
      <c r="H1069" s="33"/>
    </row>
    <row r="1070" ht="22.5" hidden="1" customHeight="1">
      <c r="A1070" s="4" t="s">
        <v>823</v>
      </c>
      <c r="B1070" s="4">
        <v>2020.0</v>
      </c>
      <c r="C1070" s="4" t="s">
        <v>87</v>
      </c>
      <c r="D1070" s="4" t="s">
        <v>1255</v>
      </c>
      <c r="E1070" s="4" t="str">
        <f>IFERROR(VLOOKUP(G1070, 'Padronização'!A:C, 2, FALSE), "")</f>
        <v>❌</v>
      </c>
      <c r="F1070" s="23" t="str">
        <f>IFERROR(VLOOKUP(G1070, 'Padronização'!A:C, 3, FALSE), "")</f>
        <v>Artigo metodológico genérico (framework, design, how-to)</v>
      </c>
      <c r="G1070" s="23" t="s">
        <v>27</v>
      </c>
      <c r="H1070" s="23" t="s">
        <v>302</v>
      </c>
    </row>
    <row r="1071" ht="22.5" hidden="1" customHeight="1">
      <c r="A1071" s="4" t="s">
        <v>823</v>
      </c>
      <c r="B1071" s="4">
        <v>2020.0</v>
      </c>
      <c r="C1071" s="4" t="s">
        <v>87</v>
      </c>
      <c r="D1071" s="4" t="s">
        <v>1256</v>
      </c>
      <c r="E1071" s="4" t="str">
        <f>IFERROR(VLOOKUP(G1071, 'Padronização'!A:C, 2, FALSE), "")</f>
        <v>✅</v>
      </c>
      <c r="F1071" s="23" t="str">
        <f>IFERROR(VLOOKUP(G1071, 'Padronização'!A:C, 3, FALSE), "")</f>
        <v>ABM/MAS aplicado à evacuação</v>
      </c>
      <c r="G1071" s="23" t="s">
        <v>45</v>
      </c>
      <c r="H1071" s="23" t="s">
        <v>302</v>
      </c>
    </row>
    <row r="1072" ht="22.5" hidden="1" customHeight="1">
      <c r="A1072" s="4" t="s">
        <v>823</v>
      </c>
      <c r="B1072" s="4">
        <v>2020.0</v>
      </c>
      <c r="C1072" s="4" t="s">
        <v>87</v>
      </c>
      <c r="D1072" s="4" t="s">
        <v>1257</v>
      </c>
      <c r="E1072" s="4" t="str">
        <f>IFERROR(VLOOKUP(G1072, 'Padronização'!A:C, 2, FALSE), "")</f>
        <v>❌</v>
      </c>
      <c r="F1072" s="23" t="str">
        <f>IFERROR(VLOOKUP(G1072, 'Padronização'!A:C, 3, FALSE), "")</f>
        <v>Emergência em saúde com foco operacional / Operação hospitalar</v>
      </c>
      <c r="G1072" s="23" t="s">
        <v>38</v>
      </c>
      <c r="H1072" s="33"/>
    </row>
    <row r="1073" ht="22.5" hidden="1" customHeight="1">
      <c r="A1073" s="4" t="s">
        <v>823</v>
      </c>
      <c r="B1073" s="4">
        <v>2020.0</v>
      </c>
      <c r="C1073" s="4" t="s">
        <v>87</v>
      </c>
      <c r="D1073" s="4" t="s">
        <v>1258</v>
      </c>
      <c r="E1073" s="4" t="str">
        <f>IFERROR(VLOOKUP(G1073, 'Padronização'!A:C, 2, FALSE), "")</f>
        <v>❌</v>
      </c>
      <c r="F1073" s="23" t="str">
        <f>IFERROR(VLOOKUP(G1073, 'Padronização'!A:C, 3, FALSE), "")</f>
        <v>Não aborda cenário de crise ou desastre</v>
      </c>
      <c r="G1073" s="23" t="s">
        <v>31</v>
      </c>
      <c r="H1073" s="33"/>
    </row>
    <row r="1074" ht="22.5" hidden="1" customHeight="1">
      <c r="A1074" s="4" t="s">
        <v>823</v>
      </c>
      <c r="B1074" s="4">
        <v>2020.0</v>
      </c>
      <c r="C1074" s="4" t="s">
        <v>87</v>
      </c>
      <c r="D1074" s="4" t="s">
        <v>1259</v>
      </c>
      <c r="E1074" s="4" t="str">
        <f>IFERROR(VLOOKUP(G1074, 'Padronização'!A:C, 2, FALSE), "")</f>
        <v>❌</v>
      </c>
      <c r="F1074" s="23" t="str">
        <f>IFERROR(VLOOKUP(G1074, 'Padronização'!A:C, 3, FALSE), "")</f>
        <v>Não aborda cenário de crise ou desastre</v>
      </c>
      <c r="G1074" s="23" t="s">
        <v>31</v>
      </c>
      <c r="H1074" s="33"/>
    </row>
    <row r="1075" ht="22.5" hidden="1" customHeight="1">
      <c r="A1075" s="4" t="s">
        <v>823</v>
      </c>
      <c r="B1075" s="4">
        <v>2020.0</v>
      </c>
      <c r="C1075" s="4" t="s">
        <v>87</v>
      </c>
      <c r="D1075" s="4" t="s">
        <v>1260</v>
      </c>
      <c r="E1075" s="4" t="str">
        <f>IFERROR(VLOOKUP(G1075, 'Padronização'!A:C, 2, FALSE), "")</f>
        <v>❌</v>
      </c>
      <c r="F1075" s="23" t="str">
        <f>IFERROR(VLOOKUP(G1075, 'Padronização'!A:C, 3, FALSE), "")</f>
        <v>Emergência em saúde com foco operacional / Operação hospitalar</v>
      </c>
      <c r="G1075" s="23" t="s">
        <v>38</v>
      </c>
      <c r="H1075" s="23" t="s">
        <v>302</v>
      </c>
    </row>
    <row r="1076" ht="22.5" hidden="1" customHeight="1">
      <c r="A1076" s="4" t="s">
        <v>823</v>
      </c>
      <c r="B1076" s="4">
        <v>2020.0</v>
      </c>
      <c r="C1076" s="4" t="s">
        <v>33</v>
      </c>
      <c r="D1076" s="4" t="s">
        <v>1261</v>
      </c>
      <c r="E1076" s="4" t="str">
        <f>IFERROR(VLOOKUP(G1076, 'Padronização'!A:C, 2, FALSE), "")</f>
        <v>⚠️</v>
      </c>
      <c r="F1076" s="23" t="str">
        <f>IFERROR(VLOOKUP(G1076, 'Padronização'!A:C, 3, FALSE), "")</f>
        <v>Crise explícita com foco em infraestrutura</v>
      </c>
      <c r="G1076" s="23" t="s">
        <v>40</v>
      </c>
      <c r="H1076" s="33"/>
    </row>
    <row r="1077" ht="22.5" hidden="1" customHeight="1">
      <c r="A1077" s="4" t="s">
        <v>823</v>
      </c>
      <c r="B1077" s="4">
        <v>2020.0</v>
      </c>
      <c r="C1077" s="4" t="s">
        <v>87</v>
      </c>
      <c r="D1077" s="4" t="s">
        <v>1046</v>
      </c>
      <c r="E1077" s="4" t="str">
        <f>IFERROR(VLOOKUP(G1077, 'Padronização'!A:C, 2, FALSE), "")</f>
        <v>❌</v>
      </c>
      <c r="F1077" s="23" t="str">
        <f>IFERROR(VLOOKUP(G1077, 'Padronização'!A:C, 3, FALSE), "")</f>
        <v>Artigo metodológico genérico (framework, design, how-to)</v>
      </c>
      <c r="G1077" s="23" t="s">
        <v>27</v>
      </c>
      <c r="H1077" s="23" t="s">
        <v>302</v>
      </c>
    </row>
    <row r="1078" ht="22.5" hidden="1" customHeight="1">
      <c r="A1078" s="4" t="s">
        <v>823</v>
      </c>
      <c r="B1078" s="4">
        <v>2020.0</v>
      </c>
      <c r="C1078" s="4" t="s">
        <v>87</v>
      </c>
      <c r="D1078" s="4" t="s">
        <v>1262</v>
      </c>
      <c r="E1078" s="4" t="str">
        <f>IFERROR(VLOOKUP(G1078, 'Padronização'!A:C, 2, FALSE), "")</f>
        <v>❌</v>
      </c>
      <c r="F1078" s="23" t="str">
        <f>IFERROR(VLOOKUP(G1078, 'Padronização'!A:C, 3, FALSE), "")</f>
        <v>Algoritmo técnico / MAS sem humano / otimização </v>
      </c>
      <c r="G1078" s="23" t="s">
        <v>15</v>
      </c>
      <c r="H1078" s="23" t="s">
        <v>302</v>
      </c>
    </row>
    <row r="1079" ht="22.5" hidden="1" customHeight="1">
      <c r="A1079" s="4" t="s">
        <v>823</v>
      </c>
      <c r="B1079" s="4">
        <v>2020.0</v>
      </c>
      <c r="C1079" s="4" t="s">
        <v>87</v>
      </c>
      <c r="D1079" s="4" t="s">
        <v>1061</v>
      </c>
      <c r="E1079" s="4" t="str">
        <f>IFERROR(VLOOKUP(G1079, 'Padronização'!A:C, 2, FALSE), "")</f>
        <v>⚠️</v>
      </c>
      <c r="F1079" s="23" t="str">
        <f>IFERROR(VLOOKUP(G1079, 'Padronização'!A:C, 3, FALSE), "")</f>
        <v>Emergência com evacuação específica</v>
      </c>
      <c r="G1079" s="23" t="s">
        <v>57</v>
      </c>
      <c r="H1079" s="23" t="s">
        <v>302</v>
      </c>
    </row>
    <row r="1080" ht="22.5" hidden="1" customHeight="1">
      <c r="A1080" s="4" t="s">
        <v>823</v>
      </c>
      <c r="B1080" s="4">
        <v>2020.0</v>
      </c>
      <c r="C1080" s="4" t="s">
        <v>87</v>
      </c>
      <c r="D1080" s="4" t="s">
        <v>1263</v>
      </c>
      <c r="E1080" s="4" t="str">
        <f>IFERROR(VLOOKUP(G1080, 'Padronização'!A:C, 2, FALSE), "")</f>
        <v>❌</v>
      </c>
      <c r="F1080" s="23" t="str">
        <f>IFERROR(VLOOKUP(G1080, 'Padronização'!A:C, 3, FALSE), "")</f>
        <v>Telecomunicações emergenciais / alocação de rede; foco técnico</v>
      </c>
      <c r="G1080" s="23" t="s">
        <v>5</v>
      </c>
      <c r="H1080" s="33"/>
    </row>
    <row r="1081" ht="22.5" hidden="1" customHeight="1">
      <c r="A1081" s="4" t="s">
        <v>823</v>
      </c>
      <c r="B1081" s="4">
        <v>2020.0</v>
      </c>
      <c r="C1081" s="4" t="s">
        <v>33</v>
      </c>
      <c r="D1081" s="4" t="s">
        <v>1264</v>
      </c>
      <c r="E1081" s="4" t="str">
        <f>IFERROR(VLOOKUP(G1081, 'Padronização'!A:C, 2, FALSE), "")</f>
        <v>❌</v>
      </c>
      <c r="F1081" s="23" t="str">
        <f>IFERROR(VLOOKUP(G1081, 'Padronização'!A:C, 3, FALSE), "")</f>
        <v>Emergência em saúde com foco operacional / Operação hospitalar</v>
      </c>
      <c r="G1081" s="23" t="s">
        <v>38</v>
      </c>
      <c r="H1081" s="23" t="s">
        <v>302</v>
      </c>
    </row>
    <row r="1082" ht="22.5" hidden="1" customHeight="1">
      <c r="A1082" s="4" t="s">
        <v>823</v>
      </c>
      <c r="B1082" s="4">
        <v>2020.0</v>
      </c>
      <c r="C1082" s="4" t="s">
        <v>33</v>
      </c>
      <c r="D1082" s="4" t="s">
        <v>1265</v>
      </c>
      <c r="E1082" s="4" t="str">
        <f>IFERROR(VLOOKUP(G1082, 'Padronização'!A:C, 2, FALSE), "")</f>
        <v>❌</v>
      </c>
      <c r="F1082" s="23" t="str">
        <f>IFERROR(VLOOKUP(G1082, 'Padronização'!A:C, 3, FALSE), "")</f>
        <v>Transporte / tráfego em operação normal</v>
      </c>
      <c r="G1082" s="23" t="s">
        <v>19</v>
      </c>
      <c r="H1082" s="23" t="s">
        <v>302</v>
      </c>
    </row>
    <row r="1083" ht="22.5" hidden="1" customHeight="1">
      <c r="A1083" s="4" t="s">
        <v>823</v>
      </c>
      <c r="B1083" s="4">
        <v>2020.0</v>
      </c>
      <c r="C1083" s="4" t="s">
        <v>87</v>
      </c>
      <c r="D1083" s="4" t="s">
        <v>869</v>
      </c>
      <c r="E1083" s="4" t="str">
        <f>IFERROR(VLOOKUP(G1083, 'Padronização'!A:C, 2, FALSE), "")</f>
        <v>✅</v>
      </c>
      <c r="F1083" s="23" t="str">
        <f>IFERROR(VLOOKUP(G1083, 'Padronização'!A:C, 3, FALSE), "")</f>
        <v>ABM/MAS aplicado à evacuação</v>
      </c>
      <c r="G1083" s="23" t="s">
        <v>45</v>
      </c>
      <c r="H1083" s="23" t="s">
        <v>302</v>
      </c>
    </row>
    <row r="1084" ht="22.5" hidden="1" customHeight="1">
      <c r="A1084" s="4" t="s">
        <v>823</v>
      </c>
      <c r="B1084" s="4">
        <v>2020.0</v>
      </c>
      <c r="C1084" s="4" t="s">
        <v>33</v>
      </c>
      <c r="D1084" s="4" t="s">
        <v>1266</v>
      </c>
      <c r="E1084" s="4" t="str">
        <f>IFERROR(VLOOKUP(G1084, 'Padronização'!A:C, 2, FALSE), "")</f>
        <v>❌</v>
      </c>
      <c r="F1084" s="23" t="str">
        <f>IFERROR(VLOOKUP(G1084, 'Padronização'!A:C, 3, FALSE), "")</f>
        <v>Não aborda cenário de crise ou desastre</v>
      </c>
      <c r="G1084" s="23" t="s">
        <v>31</v>
      </c>
      <c r="H1084" s="33"/>
    </row>
    <row r="1085" ht="22.5" hidden="1" customHeight="1">
      <c r="A1085" s="4" t="s">
        <v>823</v>
      </c>
      <c r="B1085" s="4">
        <v>2020.0</v>
      </c>
      <c r="C1085" s="4" t="s">
        <v>33</v>
      </c>
      <c r="D1085" s="4" t="s">
        <v>1267</v>
      </c>
      <c r="E1085" s="4" t="str">
        <f>IFERROR(VLOOKUP(G1085, 'Padronização'!A:C, 2, FALSE), "")</f>
        <v>❌</v>
      </c>
      <c r="F1085" s="23" t="str">
        <f>IFERROR(VLOOKUP(G1085, 'Padronização'!A:C, 3, FALSE), "")</f>
        <v>Emergência em saúde com foco operacional / Operação hospitalar</v>
      </c>
      <c r="G1085" s="23" t="s">
        <v>38</v>
      </c>
      <c r="H1085" s="23" t="s">
        <v>302</v>
      </c>
    </row>
    <row r="1086" ht="22.5" customHeight="1">
      <c r="A1086" s="4" t="s">
        <v>823</v>
      </c>
      <c r="B1086" s="4">
        <v>2020.0</v>
      </c>
      <c r="C1086" s="4" t="s">
        <v>33</v>
      </c>
      <c r="D1086" s="4" t="s">
        <v>871</v>
      </c>
      <c r="E1086" s="4" t="str">
        <f>IFERROR(VLOOKUP(G1086, 'Padronização'!A:C, 2, FALSE), "")</f>
        <v>✅</v>
      </c>
      <c r="F1086" s="23" t="str">
        <f>IFERROR(VLOOKUP(G1086, 'Padronização'!A:C, 3, FALSE), "")</f>
        <v>ABM/MAS focado em comportamento humano cognitivo</v>
      </c>
      <c r="G1086" s="23" t="s">
        <v>47</v>
      </c>
      <c r="H1086" s="33"/>
    </row>
    <row r="1087" ht="22.5" customHeight="1">
      <c r="A1087" s="4" t="s">
        <v>823</v>
      </c>
      <c r="B1087" s="4">
        <v>2020.0</v>
      </c>
      <c r="C1087" s="4" t="s">
        <v>33</v>
      </c>
      <c r="D1087" s="4" t="s">
        <v>873</v>
      </c>
      <c r="E1087" s="4" t="str">
        <f>IFERROR(VLOOKUP(G1087, 'Padronização'!A:C, 2, FALSE), "")</f>
        <v>✅</v>
      </c>
      <c r="F1087" s="23" t="str">
        <f>IFERROR(VLOOKUP(G1087, 'Padronização'!A:C, 3, FALSE), "")</f>
        <v>ABM/MAS aplicado à evacuação</v>
      </c>
      <c r="G1087" s="23" t="s">
        <v>45</v>
      </c>
      <c r="H1087" s="33"/>
    </row>
    <row r="1088" ht="22.5" hidden="1" customHeight="1">
      <c r="A1088" s="4" t="s">
        <v>823</v>
      </c>
      <c r="B1088" s="4">
        <v>2020.0</v>
      </c>
      <c r="C1088" s="4" t="s">
        <v>33</v>
      </c>
      <c r="D1088" s="4" t="s">
        <v>1268</v>
      </c>
      <c r="E1088" s="4" t="str">
        <f>IFERROR(VLOOKUP(G1088, 'Padronização'!A:C, 2, FALSE), "")</f>
        <v>⚠️</v>
      </c>
      <c r="F1088" s="23" t="str">
        <f>IFERROR(VLOOKUP(G1088, 'Padronização'!A:C, 3, FALSE), "")</f>
        <v>Emergência com evacuação específica</v>
      </c>
      <c r="G1088" s="23" t="s">
        <v>57</v>
      </c>
      <c r="H1088" s="33"/>
    </row>
    <row r="1089" ht="22.5" hidden="1" customHeight="1">
      <c r="A1089" s="4" t="s">
        <v>823</v>
      </c>
      <c r="B1089" s="4">
        <v>2020.0</v>
      </c>
      <c r="C1089" s="4" t="s">
        <v>33</v>
      </c>
      <c r="D1089" s="4" t="s">
        <v>1269</v>
      </c>
      <c r="E1089" s="4" t="str">
        <f>IFERROR(VLOOKUP(G1089, 'Padronização'!A:C, 2, FALSE), "")</f>
        <v>❌</v>
      </c>
      <c r="F1089" s="23" t="str">
        <f>IFERROR(VLOOKUP(G1089, 'Padronização'!A:C, 3, FALSE), "")</f>
        <v>Emergência em saúde com foco operacional / Operação hospitalar</v>
      </c>
      <c r="G1089" s="23" t="s">
        <v>38</v>
      </c>
      <c r="H1089" s="23" t="s">
        <v>302</v>
      </c>
    </row>
    <row r="1090" ht="22.5" hidden="1" customHeight="1">
      <c r="A1090" s="4" t="s">
        <v>823</v>
      </c>
      <c r="B1090" s="4">
        <v>2020.0</v>
      </c>
      <c r="C1090" s="4" t="s">
        <v>33</v>
      </c>
      <c r="D1090" s="4" t="s">
        <v>1270</v>
      </c>
      <c r="E1090" s="4" t="str">
        <f>IFERROR(VLOOKUP(G1090, 'Padronização'!A:C, 2, FALSE), "")</f>
        <v>❌</v>
      </c>
      <c r="F1090" s="23" t="str">
        <f>IFERROR(VLOOKUP(G1090, 'Padronização'!A:C, 3, FALSE), "")</f>
        <v>Artigo metodológico genérico (framework, design, how-to)</v>
      </c>
      <c r="G1090" s="23" t="s">
        <v>27</v>
      </c>
      <c r="H1090" s="33"/>
    </row>
    <row r="1091" ht="22.5" hidden="1" customHeight="1">
      <c r="A1091" s="4"/>
      <c r="B1091" s="4"/>
      <c r="C1091" s="4"/>
      <c r="D1091" s="4"/>
      <c r="E1091" s="4" t="str">
        <f>IFERROR(VLOOKUP(G1091, 'Padronização'!A:C, 2, FALSE), "")</f>
        <v/>
      </c>
      <c r="F1091" s="23" t="str">
        <f>IFERROR(VLOOKUP(G1091, 'Padronização'!A:C, 3, FALSE), "")</f>
        <v/>
      </c>
      <c r="G1091" s="23"/>
      <c r="H1091" s="33"/>
    </row>
    <row r="1092" ht="22.5" hidden="1" customHeight="1">
      <c r="A1092" s="4"/>
      <c r="B1092" s="4"/>
      <c r="C1092" s="4"/>
      <c r="D1092" s="4"/>
      <c r="E1092" s="4" t="str">
        <f>IFERROR(VLOOKUP(G1092, 'Padronização'!A:C, 2, FALSE), "")</f>
        <v/>
      </c>
      <c r="F1092" s="23" t="str">
        <f>IFERROR(VLOOKUP(G1092, 'Padronização'!A:C, 3, FALSE), "")</f>
        <v/>
      </c>
      <c r="G1092" s="23"/>
      <c r="H1092" s="33"/>
    </row>
    <row r="1093" ht="22.5" hidden="1" customHeight="1">
      <c r="A1093" s="4"/>
      <c r="B1093" s="4"/>
      <c r="C1093" s="4"/>
      <c r="D1093" s="4"/>
      <c r="E1093" s="4" t="str">
        <f>IFERROR(VLOOKUP(G1093, 'Padronização'!A:C, 2, FALSE), "")</f>
        <v/>
      </c>
      <c r="F1093" s="23" t="str">
        <f>IFERROR(VLOOKUP(G1093, 'Padronização'!A:C, 3, FALSE), "")</f>
        <v/>
      </c>
      <c r="G1093" s="23"/>
      <c r="H1093" s="33"/>
    </row>
    <row r="1094" ht="22.5" hidden="1" customHeight="1">
      <c r="A1094" s="4"/>
      <c r="B1094" s="4"/>
      <c r="C1094" s="4"/>
      <c r="D1094" s="4"/>
      <c r="E1094" s="4" t="str">
        <f>IFERROR(VLOOKUP(G1094, 'Padronização'!A:C, 2, FALSE), "")</f>
        <v/>
      </c>
      <c r="F1094" s="23" t="str">
        <f>IFERROR(VLOOKUP(G1094, 'Padronização'!A:C, 3, FALSE), "")</f>
        <v/>
      </c>
      <c r="G1094" s="23"/>
      <c r="H1094" s="33"/>
    </row>
    <row r="1095" ht="22.5" hidden="1" customHeight="1">
      <c r="A1095" s="4"/>
      <c r="B1095" s="4"/>
      <c r="C1095" s="4"/>
      <c r="D1095" s="4"/>
      <c r="E1095" s="4" t="str">
        <f>IFERROR(VLOOKUP(G1095, 'Padronização'!A:C, 2, FALSE), "")</f>
        <v/>
      </c>
      <c r="F1095" s="23" t="str">
        <f>IFERROR(VLOOKUP(G1095, 'Padronização'!A:C, 3, FALSE), "")</f>
        <v/>
      </c>
      <c r="G1095" s="23"/>
      <c r="H1095" s="33"/>
    </row>
    <row r="1096" ht="22.5" hidden="1" customHeight="1">
      <c r="A1096" s="4"/>
      <c r="B1096" s="4"/>
      <c r="C1096" s="4"/>
      <c r="D1096" s="4"/>
      <c r="E1096" s="4" t="str">
        <f>IFERROR(VLOOKUP(G1096, 'Padronização'!A:C, 2, FALSE), "")</f>
        <v/>
      </c>
      <c r="F1096" s="23" t="str">
        <f>IFERROR(VLOOKUP(G1096, 'Padronização'!A:C, 3, FALSE), "")</f>
        <v/>
      </c>
      <c r="G1096" s="23"/>
      <c r="H1096" s="33"/>
    </row>
    <row r="1097" ht="22.5" hidden="1" customHeight="1">
      <c r="A1097" s="4"/>
      <c r="B1097" s="4"/>
      <c r="C1097" s="4"/>
      <c r="D1097" s="4"/>
      <c r="E1097" s="4" t="str">
        <f>IFERROR(VLOOKUP(G1097, 'Padronização'!A:C, 2, FALSE), "")</f>
        <v/>
      </c>
      <c r="F1097" s="23" t="str">
        <f>IFERROR(VLOOKUP(G1097, 'Padronização'!A:C, 3, FALSE), "")</f>
        <v/>
      </c>
      <c r="G1097" s="23"/>
      <c r="H1097" s="33"/>
    </row>
    <row r="1098" ht="22.5" hidden="1" customHeight="1">
      <c r="A1098" s="4"/>
      <c r="B1098" s="4"/>
      <c r="C1098" s="4"/>
      <c r="D1098" s="4"/>
      <c r="E1098" s="4" t="str">
        <f>IFERROR(VLOOKUP(G1098, 'Padronização'!A:C, 2, FALSE), "")</f>
        <v/>
      </c>
      <c r="F1098" s="23" t="str">
        <f>IFERROR(VLOOKUP(G1098, 'Padronização'!A:C, 3, FALSE), "")</f>
        <v/>
      </c>
      <c r="G1098" s="23"/>
      <c r="H1098" s="33"/>
    </row>
    <row r="1099" ht="22.5" hidden="1" customHeight="1">
      <c r="A1099" s="4"/>
      <c r="B1099" s="4"/>
      <c r="C1099" s="4"/>
      <c r="D1099" s="4"/>
      <c r="E1099" s="4" t="str">
        <f>IFERROR(VLOOKUP(G1099, 'Padronização'!A:C, 2, FALSE), "")</f>
        <v/>
      </c>
      <c r="F1099" s="23" t="str">
        <f>IFERROR(VLOOKUP(G1099, 'Padronização'!A:C, 3, FALSE), "")</f>
        <v/>
      </c>
      <c r="G1099" s="23"/>
      <c r="H1099" s="33"/>
    </row>
    <row r="1100" ht="22.5" hidden="1" customHeight="1">
      <c r="A1100" s="4"/>
      <c r="B1100" s="4"/>
      <c r="C1100" s="4"/>
      <c r="D1100" s="4"/>
      <c r="E1100" s="4" t="str">
        <f>IFERROR(VLOOKUP(G1100, 'Padronização'!A:C, 2, FALSE), "")</f>
        <v/>
      </c>
      <c r="F1100" s="23" t="str">
        <f>IFERROR(VLOOKUP(G1100, 'Padronização'!A:C, 3, FALSE), "")</f>
        <v/>
      </c>
      <c r="G1100" s="23"/>
      <c r="H1100" s="33"/>
    </row>
    <row r="1101" ht="22.5" hidden="1" customHeight="1">
      <c r="A1101" s="4"/>
      <c r="B1101" s="4"/>
      <c r="C1101" s="4"/>
      <c r="D1101" s="4"/>
      <c r="E1101" s="4" t="str">
        <f>IFERROR(VLOOKUP(G1101, 'Padronização'!A:C, 2, FALSE), "")</f>
        <v/>
      </c>
      <c r="F1101" s="23" t="str">
        <f>IFERROR(VLOOKUP(G1101, 'Padronização'!A:C, 3, FALSE), "")</f>
        <v/>
      </c>
      <c r="G1101" s="23"/>
      <c r="H1101" s="33"/>
    </row>
    <row r="1102" ht="22.5" hidden="1" customHeight="1">
      <c r="A1102" s="4"/>
      <c r="B1102" s="4"/>
      <c r="C1102" s="4"/>
      <c r="D1102" s="4"/>
      <c r="E1102" s="4" t="str">
        <f>IFERROR(VLOOKUP(G1102, 'Padronização'!A:C, 2, FALSE), "")</f>
        <v/>
      </c>
      <c r="F1102" s="23" t="str">
        <f>IFERROR(VLOOKUP(G1102, 'Padronização'!A:C, 3, FALSE), "")</f>
        <v/>
      </c>
      <c r="G1102" s="23"/>
      <c r="H1102" s="33"/>
    </row>
    <row r="1103" ht="22.5" hidden="1" customHeight="1">
      <c r="A1103" s="4"/>
      <c r="B1103" s="4"/>
      <c r="C1103" s="4"/>
      <c r="D1103" s="4"/>
      <c r="E1103" s="4" t="str">
        <f>IFERROR(VLOOKUP(G1103, 'Padronização'!A:C, 2, FALSE), "")</f>
        <v/>
      </c>
      <c r="F1103" s="23" t="str">
        <f>IFERROR(VLOOKUP(G1103, 'Padronização'!A:C, 3, FALSE), "")</f>
        <v/>
      </c>
      <c r="G1103" s="23"/>
      <c r="H1103" s="33"/>
    </row>
    <row r="1104" ht="22.5" hidden="1" customHeight="1">
      <c r="A1104" s="4"/>
      <c r="B1104" s="4"/>
      <c r="C1104" s="4"/>
      <c r="D1104" s="4"/>
      <c r="E1104" s="4" t="str">
        <f>IFERROR(VLOOKUP(G1104, 'Padronização'!A:C, 2, FALSE), "")</f>
        <v/>
      </c>
      <c r="F1104" s="23" t="str">
        <f>IFERROR(VLOOKUP(G1104, 'Padronização'!A:C, 3, FALSE), "")</f>
        <v/>
      </c>
      <c r="G1104" s="23"/>
      <c r="H1104" s="33"/>
    </row>
    <row r="1105" ht="22.5" hidden="1" customHeight="1">
      <c r="A1105" s="4"/>
      <c r="B1105" s="4"/>
      <c r="C1105" s="4"/>
      <c r="D1105" s="4"/>
      <c r="E1105" s="4" t="str">
        <f>IFERROR(VLOOKUP(G1105, 'Padronização'!A:C, 2, FALSE), "")</f>
        <v/>
      </c>
      <c r="F1105" s="23" t="str">
        <f>IFERROR(VLOOKUP(G1105, 'Padronização'!A:C, 3, FALSE), "")</f>
        <v/>
      </c>
      <c r="G1105" s="23"/>
      <c r="H1105" s="33"/>
    </row>
    <row r="1106" ht="22.5" hidden="1" customHeight="1">
      <c r="A1106" s="4"/>
      <c r="B1106" s="4"/>
      <c r="C1106" s="4"/>
      <c r="D1106" s="4"/>
      <c r="E1106" s="4" t="str">
        <f>IFERROR(VLOOKUP(G1106, 'Padronização'!A:C, 2, FALSE), "")</f>
        <v/>
      </c>
      <c r="F1106" s="23" t="str">
        <f>IFERROR(VLOOKUP(G1106, 'Padronização'!A:C, 3, FALSE), "")</f>
        <v/>
      </c>
      <c r="G1106" s="23"/>
      <c r="H1106" s="33"/>
    </row>
    <row r="1107" ht="22.5" hidden="1" customHeight="1">
      <c r="A1107" s="4"/>
      <c r="B1107" s="4"/>
      <c r="C1107" s="4"/>
      <c r="D1107" s="4"/>
      <c r="E1107" s="4" t="str">
        <f>IFERROR(VLOOKUP(G1107, 'Padronização'!A:C, 2, FALSE), "")</f>
        <v/>
      </c>
      <c r="F1107" s="23" t="str">
        <f>IFERROR(VLOOKUP(G1107, 'Padronização'!A:C, 3, FALSE), "")</f>
        <v/>
      </c>
      <c r="G1107" s="23"/>
      <c r="H1107" s="33"/>
    </row>
    <row r="1108" ht="22.5" hidden="1" customHeight="1">
      <c r="A1108" s="4"/>
      <c r="B1108" s="4"/>
      <c r="C1108" s="4"/>
      <c r="D1108" s="4"/>
      <c r="E1108" s="4" t="str">
        <f>IFERROR(VLOOKUP(G1108, 'Padronização'!A:C, 2, FALSE), "")</f>
        <v/>
      </c>
      <c r="F1108" s="23" t="str">
        <f>IFERROR(VLOOKUP(G1108, 'Padronização'!A:C, 3, FALSE), "")</f>
        <v/>
      </c>
      <c r="G1108" s="23"/>
      <c r="H1108" s="33"/>
    </row>
    <row r="1109" ht="22.5" hidden="1" customHeight="1">
      <c r="A1109" s="4"/>
      <c r="B1109" s="4"/>
      <c r="C1109" s="4"/>
      <c r="D1109" s="4"/>
      <c r="E1109" s="4" t="str">
        <f>IFERROR(VLOOKUP(G1109, 'Padronização'!A:C, 2, FALSE), "")</f>
        <v/>
      </c>
      <c r="F1109" s="23" t="str">
        <f>IFERROR(VLOOKUP(G1109, 'Padronização'!A:C, 3, FALSE), "")</f>
        <v/>
      </c>
      <c r="G1109" s="23"/>
      <c r="H1109" s="33"/>
    </row>
    <row r="1110" ht="22.5" hidden="1" customHeight="1">
      <c r="A1110" s="4"/>
      <c r="B1110" s="4"/>
      <c r="C1110" s="4"/>
      <c r="D1110" s="4"/>
      <c r="E1110" s="4" t="str">
        <f>IFERROR(VLOOKUP(G1110, 'Padronização'!A:C, 2, FALSE), "")</f>
        <v/>
      </c>
      <c r="F1110" s="23" t="str">
        <f>IFERROR(VLOOKUP(G1110, 'Padronização'!A:C, 3, FALSE), "")</f>
        <v/>
      </c>
      <c r="G1110" s="23"/>
      <c r="H1110" s="33"/>
    </row>
    <row r="1111" ht="22.5" hidden="1" customHeight="1">
      <c r="A1111" s="4"/>
      <c r="B1111" s="4"/>
      <c r="C1111" s="4"/>
      <c r="D1111" s="4"/>
      <c r="E1111" s="4" t="str">
        <f>IFERROR(VLOOKUP(G1111, 'Padronização'!A:C, 2, FALSE), "")</f>
        <v/>
      </c>
      <c r="F1111" s="23" t="str">
        <f>IFERROR(VLOOKUP(G1111, 'Padronização'!A:C, 3, FALSE), "")</f>
        <v/>
      </c>
      <c r="G1111" s="23"/>
      <c r="H1111" s="33"/>
    </row>
    <row r="1112" ht="22.5" hidden="1" customHeight="1">
      <c r="A1112" s="4"/>
      <c r="B1112" s="4"/>
      <c r="C1112" s="4"/>
      <c r="D1112" s="4"/>
      <c r="E1112" s="4" t="str">
        <f>IFERROR(VLOOKUP(G1112, 'Padronização'!A:C, 2, FALSE), "")</f>
        <v/>
      </c>
      <c r="F1112" s="23" t="str">
        <f>IFERROR(VLOOKUP(G1112, 'Padronização'!A:C, 3, FALSE), "")</f>
        <v/>
      </c>
      <c r="G1112" s="23"/>
      <c r="H1112" s="33"/>
    </row>
    <row r="1113" ht="22.5" hidden="1" customHeight="1">
      <c r="A1113" s="4"/>
      <c r="B1113" s="4"/>
      <c r="C1113" s="4"/>
      <c r="D1113" s="4"/>
      <c r="E1113" s="4" t="str">
        <f>IFERROR(VLOOKUP(G1113, 'Padronização'!A:C, 2, FALSE), "")</f>
        <v/>
      </c>
      <c r="F1113" s="23" t="str">
        <f>IFERROR(VLOOKUP(G1113, 'Padronização'!A:C, 3, FALSE), "")</f>
        <v/>
      </c>
      <c r="G1113" s="23"/>
      <c r="H1113" s="33"/>
    </row>
    <row r="1114" ht="22.5" hidden="1" customHeight="1">
      <c r="A1114" s="4"/>
      <c r="B1114" s="4"/>
      <c r="C1114" s="4"/>
      <c r="D1114" s="4"/>
      <c r="E1114" s="4" t="str">
        <f>IFERROR(VLOOKUP(G1114, 'Padronização'!A:C, 2, FALSE), "")</f>
        <v/>
      </c>
      <c r="F1114" s="23" t="str">
        <f>IFERROR(VLOOKUP(G1114, 'Padronização'!A:C, 3, FALSE), "")</f>
        <v/>
      </c>
      <c r="G1114" s="23"/>
      <c r="H1114" s="33"/>
    </row>
    <row r="1115" ht="22.5" hidden="1" customHeight="1">
      <c r="A1115" s="4"/>
      <c r="B1115" s="4"/>
      <c r="C1115" s="4"/>
      <c r="D1115" s="4"/>
      <c r="E1115" s="4" t="str">
        <f>IFERROR(VLOOKUP(G1115, 'Padronização'!A:C, 2, FALSE), "")</f>
        <v/>
      </c>
      <c r="F1115" s="23" t="str">
        <f>IFERROR(VLOOKUP(G1115, 'Padronização'!A:C, 3, FALSE), "")</f>
        <v/>
      </c>
      <c r="G1115" s="23"/>
      <c r="H1115" s="33"/>
    </row>
    <row r="1116" ht="22.5" hidden="1" customHeight="1">
      <c r="A1116" s="4"/>
      <c r="B1116" s="4"/>
      <c r="C1116" s="4"/>
      <c r="D1116" s="4"/>
      <c r="E1116" s="4" t="str">
        <f>IFERROR(VLOOKUP(G1116, 'Padronização'!A:C, 2, FALSE), "")</f>
        <v/>
      </c>
      <c r="F1116" s="23" t="str">
        <f>IFERROR(VLOOKUP(G1116, 'Padronização'!A:C, 3, FALSE), "")</f>
        <v/>
      </c>
      <c r="G1116" s="23"/>
      <c r="H1116" s="33"/>
    </row>
    <row r="1117" ht="22.5" hidden="1" customHeight="1">
      <c r="A1117" s="4"/>
      <c r="B1117" s="4"/>
      <c r="C1117" s="4"/>
      <c r="D1117" s="4"/>
      <c r="E1117" s="4" t="str">
        <f>IFERROR(VLOOKUP(G1117, 'Padronização'!A:C, 2, FALSE), "")</f>
        <v/>
      </c>
      <c r="F1117" s="23" t="str">
        <f>IFERROR(VLOOKUP(G1117, 'Padronização'!A:C, 3, FALSE), "")</f>
        <v/>
      </c>
      <c r="G1117" s="23"/>
      <c r="H1117" s="33"/>
    </row>
    <row r="1118" ht="22.5" hidden="1" customHeight="1">
      <c r="A1118" s="4"/>
      <c r="B1118" s="4"/>
      <c r="C1118" s="4"/>
      <c r="D1118" s="4"/>
      <c r="E1118" s="4" t="str">
        <f>IFERROR(VLOOKUP(G1118, 'Padronização'!A:C, 2, FALSE), "")</f>
        <v/>
      </c>
      <c r="F1118" s="23" t="str">
        <f>IFERROR(VLOOKUP(G1118, 'Padronização'!A:C, 3, FALSE), "")</f>
        <v/>
      </c>
      <c r="G1118" s="23"/>
      <c r="H1118" s="33"/>
    </row>
    <row r="1119" ht="22.5" hidden="1" customHeight="1">
      <c r="A1119" s="4"/>
      <c r="B1119" s="4"/>
      <c r="C1119" s="4"/>
      <c r="D1119" s="4"/>
      <c r="E1119" s="4" t="str">
        <f>IFERROR(VLOOKUP(G1119, 'Padronização'!A:C, 2, FALSE), "")</f>
        <v/>
      </c>
      <c r="F1119" s="23" t="str">
        <f>IFERROR(VLOOKUP(G1119, 'Padronização'!A:C, 3, FALSE), "")</f>
        <v/>
      </c>
      <c r="G1119" s="23"/>
      <c r="H1119" s="33"/>
    </row>
    <row r="1120" ht="22.5" hidden="1" customHeight="1">
      <c r="A1120" s="4"/>
      <c r="B1120" s="4"/>
      <c r="C1120" s="4"/>
      <c r="D1120" s="4"/>
      <c r="E1120" s="4" t="str">
        <f>IFERROR(VLOOKUP(G1120, 'Padronização'!A:C, 2, FALSE), "")</f>
        <v/>
      </c>
      <c r="F1120" s="23" t="str">
        <f>IFERROR(VLOOKUP(G1120, 'Padronização'!A:C, 3, FALSE), "")</f>
        <v/>
      </c>
      <c r="G1120" s="23"/>
      <c r="H1120" s="33"/>
    </row>
    <row r="1121" ht="22.5" hidden="1" customHeight="1">
      <c r="A1121" s="4"/>
      <c r="B1121" s="4"/>
      <c r="C1121" s="4"/>
      <c r="D1121" s="4"/>
      <c r="E1121" s="4" t="str">
        <f>IFERROR(VLOOKUP(G1121, 'Padronização'!A:C, 2, FALSE), "")</f>
        <v/>
      </c>
      <c r="F1121" s="23" t="str">
        <f>IFERROR(VLOOKUP(G1121, 'Padronização'!A:C, 3, FALSE), "")</f>
        <v/>
      </c>
      <c r="G1121" s="23"/>
      <c r="H1121" s="33"/>
    </row>
    <row r="1122" ht="22.5" hidden="1" customHeight="1">
      <c r="A1122" s="4"/>
      <c r="B1122" s="4"/>
      <c r="C1122" s="4"/>
      <c r="D1122" s="4"/>
      <c r="E1122" s="4" t="str">
        <f>IFERROR(VLOOKUP(G1122, 'Padronização'!A:C, 2, FALSE), "")</f>
        <v/>
      </c>
      <c r="F1122" s="23" t="str">
        <f>IFERROR(VLOOKUP(G1122, 'Padronização'!A:C, 3, FALSE), "")</f>
        <v/>
      </c>
      <c r="G1122" s="23"/>
      <c r="H1122" s="33"/>
    </row>
    <row r="1123" ht="22.5" hidden="1" customHeight="1">
      <c r="A1123" s="4"/>
      <c r="B1123" s="4"/>
      <c r="C1123" s="4"/>
      <c r="D1123" s="4"/>
      <c r="E1123" s="4" t="str">
        <f>IFERROR(VLOOKUP(G1123, 'Padronização'!A:C, 2, FALSE), "")</f>
        <v/>
      </c>
      <c r="F1123" s="23" t="str">
        <f>IFERROR(VLOOKUP(G1123, 'Padronização'!A:C, 3, FALSE), "")</f>
        <v/>
      </c>
      <c r="G1123" s="23"/>
      <c r="H1123" s="33"/>
    </row>
    <row r="1124" ht="22.5" hidden="1" customHeight="1">
      <c r="A1124" s="4"/>
      <c r="B1124" s="4"/>
      <c r="C1124" s="4"/>
      <c r="D1124" s="4"/>
      <c r="E1124" s="4" t="str">
        <f>IFERROR(VLOOKUP(G1124, 'Padronização'!A:C, 2, FALSE), "")</f>
        <v/>
      </c>
      <c r="F1124" s="23" t="str">
        <f>IFERROR(VLOOKUP(G1124, 'Padronização'!A:C, 3, FALSE), "")</f>
        <v/>
      </c>
      <c r="G1124" s="23"/>
      <c r="H1124" s="33"/>
    </row>
    <row r="1125" ht="22.5" hidden="1" customHeight="1">
      <c r="A1125" s="4"/>
      <c r="B1125" s="4"/>
      <c r="C1125" s="4"/>
      <c r="D1125" s="4"/>
      <c r="E1125" s="4" t="str">
        <f>IFERROR(VLOOKUP(G1125, 'Padronização'!A:C, 2, FALSE), "")</f>
        <v/>
      </c>
      <c r="F1125" s="23" t="str">
        <f>IFERROR(VLOOKUP(G1125, 'Padronização'!A:C, 3, FALSE), "")</f>
        <v/>
      </c>
      <c r="G1125" s="23"/>
      <c r="H1125" s="33"/>
    </row>
    <row r="1126" ht="22.5" hidden="1" customHeight="1">
      <c r="A1126" s="4"/>
      <c r="B1126" s="4"/>
      <c r="C1126" s="4"/>
      <c r="D1126" s="4"/>
      <c r="E1126" s="4" t="str">
        <f>IFERROR(VLOOKUP(G1126, 'Padronização'!A:C, 2, FALSE), "")</f>
        <v/>
      </c>
      <c r="F1126" s="23" t="str">
        <f>IFERROR(VLOOKUP(G1126, 'Padronização'!A:C, 3, FALSE), "")</f>
        <v/>
      </c>
      <c r="G1126" s="23"/>
      <c r="H1126" s="33"/>
    </row>
    <row r="1127" ht="22.5" hidden="1" customHeight="1">
      <c r="A1127" s="4"/>
      <c r="B1127" s="4"/>
      <c r="C1127" s="4"/>
      <c r="D1127" s="4"/>
      <c r="E1127" s="4" t="str">
        <f>IFERROR(VLOOKUP(G1127, 'Padronização'!A:C, 2, FALSE), "")</f>
        <v/>
      </c>
      <c r="F1127" s="23" t="str">
        <f>IFERROR(VLOOKUP(G1127, 'Padronização'!A:C, 3, FALSE), "")</f>
        <v/>
      </c>
      <c r="G1127" s="23"/>
      <c r="H1127" s="33"/>
    </row>
    <row r="1128" ht="22.5" hidden="1" customHeight="1">
      <c r="A1128" s="4"/>
      <c r="B1128" s="4"/>
      <c r="C1128" s="4"/>
      <c r="D1128" s="4"/>
      <c r="E1128" s="4" t="str">
        <f>IFERROR(VLOOKUP(G1128, 'Padronização'!A:C, 2, FALSE), "")</f>
        <v/>
      </c>
      <c r="F1128" s="23" t="str">
        <f>IFERROR(VLOOKUP(G1128, 'Padronização'!A:C, 3, FALSE), "")</f>
        <v/>
      </c>
      <c r="G1128" s="23"/>
      <c r="H1128" s="33"/>
    </row>
    <row r="1129" ht="22.5" hidden="1" customHeight="1">
      <c r="A1129" s="4"/>
      <c r="B1129" s="4"/>
      <c r="C1129" s="4"/>
      <c r="D1129" s="4"/>
      <c r="E1129" s="4" t="str">
        <f>IFERROR(VLOOKUP(G1129, 'Padronização'!A:C, 2, FALSE), "")</f>
        <v/>
      </c>
      <c r="F1129" s="23" t="str">
        <f>IFERROR(VLOOKUP(G1129, 'Padronização'!A:C, 3, FALSE), "")</f>
        <v/>
      </c>
      <c r="G1129" s="23"/>
      <c r="H1129" s="33"/>
    </row>
    <row r="1130" ht="22.5" hidden="1" customHeight="1">
      <c r="A1130" s="4"/>
      <c r="B1130" s="4"/>
      <c r="C1130" s="4"/>
      <c r="D1130" s="4"/>
      <c r="E1130" s="4" t="str">
        <f>IFERROR(VLOOKUP(G1130, 'Padronização'!A:C, 2, FALSE), "")</f>
        <v/>
      </c>
      <c r="F1130" s="23" t="str">
        <f>IFERROR(VLOOKUP(G1130, 'Padronização'!A:C, 3, FALSE), "")</f>
        <v/>
      </c>
      <c r="G1130" s="23"/>
      <c r="H1130" s="33"/>
    </row>
    <row r="1131" ht="22.5" hidden="1" customHeight="1">
      <c r="A1131" s="4"/>
      <c r="B1131" s="4"/>
      <c r="C1131" s="4"/>
      <c r="D1131" s="4"/>
      <c r="E1131" s="4" t="str">
        <f>IFERROR(VLOOKUP(G1131, 'Padronização'!A:C, 2, FALSE), "")</f>
        <v/>
      </c>
      <c r="F1131" s="23" t="str">
        <f>IFERROR(VLOOKUP(G1131, 'Padronização'!A:C, 3, FALSE), "")</f>
        <v/>
      </c>
      <c r="G1131" s="23"/>
      <c r="H1131" s="33"/>
    </row>
    <row r="1132" ht="22.5" hidden="1" customHeight="1">
      <c r="A1132" s="4"/>
      <c r="B1132" s="4"/>
      <c r="C1132" s="4"/>
      <c r="D1132" s="4"/>
      <c r="E1132" s="4" t="str">
        <f>IFERROR(VLOOKUP(G1132, 'Padronização'!A:C, 2, FALSE), "")</f>
        <v/>
      </c>
      <c r="F1132" s="23" t="str">
        <f>IFERROR(VLOOKUP(G1132, 'Padronização'!A:C, 3, FALSE), "")</f>
        <v/>
      </c>
      <c r="G1132" s="23"/>
      <c r="H1132" s="33"/>
    </row>
    <row r="1133" ht="22.5" hidden="1" customHeight="1">
      <c r="A1133" s="4"/>
      <c r="B1133" s="4"/>
      <c r="C1133" s="4"/>
      <c r="D1133" s="4"/>
      <c r="E1133" s="4" t="str">
        <f>IFERROR(VLOOKUP(G1133, 'Padronização'!A:C, 2, FALSE), "")</f>
        <v/>
      </c>
      <c r="F1133" s="23" t="str">
        <f>IFERROR(VLOOKUP(G1133, 'Padronização'!A:C, 3, FALSE), "")</f>
        <v/>
      </c>
      <c r="G1133" s="23"/>
      <c r="H1133" s="33"/>
    </row>
    <row r="1134" ht="22.5" hidden="1" customHeight="1">
      <c r="A1134" s="4"/>
      <c r="B1134" s="4"/>
      <c r="C1134" s="4"/>
      <c r="D1134" s="4"/>
      <c r="E1134" s="4" t="str">
        <f>IFERROR(VLOOKUP(G1134, 'Padronização'!A:C, 2, FALSE), "")</f>
        <v/>
      </c>
      <c r="F1134" s="23" t="str">
        <f>IFERROR(VLOOKUP(G1134, 'Padronização'!A:C, 3, FALSE), "")</f>
        <v/>
      </c>
      <c r="G1134" s="23"/>
      <c r="H1134" s="33"/>
    </row>
    <row r="1135" ht="22.5" hidden="1" customHeight="1">
      <c r="A1135" s="4"/>
      <c r="B1135" s="4"/>
      <c r="C1135" s="4"/>
      <c r="D1135" s="4"/>
      <c r="E1135" s="4" t="str">
        <f>IFERROR(VLOOKUP(G1135, 'Padronização'!A:C, 2, FALSE), "")</f>
        <v/>
      </c>
      <c r="F1135" s="23" t="str">
        <f>IFERROR(VLOOKUP(G1135, 'Padronização'!A:C, 3, FALSE), "")</f>
        <v/>
      </c>
      <c r="G1135" s="23"/>
      <c r="H1135" s="33"/>
    </row>
    <row r="1136" ht="22.5" hidden="1" customHeight="1">
      <c r="A1136" s="4"/>
      <c r="B1136" s="4"/>
      <c r="C1136" s="4"/>
      <c r="D1136" s="4"/>
      <c r="E1136" s="4" t="str">
        <f>IFERROR(VLOOKUP(G1136, 'Padronização'!A:C, 2, FALSE), "")</f>
        <v/>
      </c>
      <c r="F1136" s="23" t="str">
        <f>IFERROR(VLOOKUP(G1136, 'Padronização'!A:C, 3, FALSE), "")</f>
        <v/>
      </c>
      <c r="G1136" s="23"/>
      <c r="H1136" s="33"/>
    </row>
    <row r="1137" ht="22.5" hidden="1" customHeight="1">
      <c r="A1137" s="4"/>
      <c r="B1137" s="4"/>
      <c r="C1137" s="4"/>
      <c r="D1137" s="4"/>
      <c r="E1137" s="4" t="str">
        <f>IFERROR(VLOOKUP(G1137, 'Padronização'!A:C, 2, FALSE), "")</f>
        <v/>
      </c>
      <c r="F1137" s="23" t="str">
        <f>IFERROR(VLOOKUP(G1137, 'Padronização'!A:C, 3, FALSE), "")</f>
        <v/>
      </c>
      <c r="G1137" s="23"/>
      <c r="H1137" s="33"/>
    </row>
    <row r="1138" ht="22.5" hidden="1" customHeight="1">
      <c r="A1138" s="4"/>
      <c r="B1138" s="4"/>
      <c r="C1138" s="4"/>
      <c r="D1138" s="4"/>
      <c r="E1138" s="4" t="str">
        <f>IFERROR(VLOOKUP(G1138, 'Padronização'!A:C, 2, FALSE), "")</f>
        <v/>
      </c>
      <c r="F1138" s="23" t="str">
        <f>IFERROR(VLOOKUP(G1138, 'Padronização'!A:C, 3, FALSE), "")</f>
        <v/>
      </c>
      <c r="G1138" s="23"/>
      <c r="H1138" s="33"/>
    </row>
    <row r="1139" ht="22.5" hidden="1" customHeight="1">
      <c r="A1139" s="4"/>
      <c r="B1139" s="4"/>
      <c r="C1139" s="4"/>
      <c r="D1139" s="4"/>
      <c r="E1139" s="4" t="str">
        <f>IFERROR(VLOOKUP(G1139, 'Padronização'!A:C, 2, FALSE), "")</f>
        <v/>
      </c>
      <c r="F1139" s="23" t="str">
        <f>IFERROR(VLOOKUP(G1139, 'Padronização'!A:C, 3, FALSE), "")</f>
        <v/>
      </c>
      <c r="G1139" s="23"/>
      <c r="H1139" s="33"/>
    </row>
    <row r="1140" ht="22.5" hidden="1" customHeight="1">
      <c r="A1140" s="4"/>
      <c r="B1140" s="4"/>
      <c r="C1140" s="4"/>
      <c r="D1140" s="4"/>
      <c r="E1140" s="4" t="str">
        <f>IFERROR(VLOOKUP(G1140, 'Padronização'!A:C, 2, FALSE), "")</f>
        <v/>
      </c>
      <c r="F1140" s="23" t="str">
        <f>IFERROR(VLOOKUP(G1140, 'Padronização'!A:C, 3, FALSE), "")</f>
        <v/>
      </c>
      <c r="G1140" s="23"/>
      <c r="H1140" s="33"/>
    </row>
    <row r="1141" ht="22.5" hidden="1" customHeight="1">
      <c r="A1141" s="4"/>
      <c r="B1141" s="4"/>
      <c r="C1141" s="4"/>
      <c r="D1141" s="4"/>
      <c r="E1141" s="4" t="str">
        <f>IFERROR(VLOOKUP(G1141, 'Padronização'!A:C, 2, FALSE), "")</f>
        <v/>
      </c>
      <c r="F1141" s="23" t="str">
        <f>IFERROR(VLOOKUP(G1141, 'Padronização'!A:C, 3, FALSE), "")</f>
        <v/>
      </c>
      <c r="G1141" s="23"/>
      <c r="H1141" s="33"/>
    </row>
    <row r="1142" ht="22.5" hidden="1" customHeight="1">
      <c r="A1142" s="4"/>
      <c r="B1142" s="4"/>
      <c r="C1142" s="4"/>
      <c r="D1142" s="4"/>
      <c r="E1142" s="4" t="str">
        <f>IFERROR(VLOOKUP(G1142, 'Padronização'!A:C, 2, FALSE), "")</f>
        <v/>
      </c>
      <c r="F1142" s="23" t="str">
        <f>IFERROR(VLOOKUP(G1142, 'Padronização'!A:C, 3, FALSE), "")</f>
        <v/>
      </c>
      <c r="G1142" s="23"/>
      <c r="H1142" s="33"/>
    </row>
    <row r="1143" ht="22.5" hidden="1" customHeight="1">
      <c r="A1143" s="4"/>
      <c r="B1143" s="4"/>
      <c r="C1143" s="4"/>
      <c r="D1143" s="4"/>
      <c r="E1143" s="4" t="str">
        <f>IFERROR(VLOOKUP(G1143, 'Padronização'!A:C, 2, FALSE), "")</f>
        <v/>
      </c>
      <c r="F1143" s="23" t="str">
        <f>IFERROR(VLOOKUP(G1143, 'Padronização'!A:C, 3, FALSE), "")</f>
        <v/>
      </c>
      <c r="G1143" s="23"/>
      <c r="H1143" s="33"/>
    </row>
    <row r="1144" ht="22.5" hidden="1" customHeight="1">
      <c r="A1144" s="4"/>
      <c r="B1144" s="4"/>
      <c r="C1144" s="4"/>
      <c r="D1144" s="4"/>
      <c r="E1144" s="4" t="str">
        <f>IFERROR(VLOOKUP(G1144, 'Padronização'!A:C, 2, FALSE), "")</f>
        <v/>
      </c>
      <c r="F1144" s="23" t="str">
        <f>IFERROR(VLOOKUP(G1144, 'Padronização'!A:C, 3, FALSE), "")</f>
        <v/>
      </c>
      <c r="G1144" s="23"/>
      <c r="H1144" s="33"/>
    </row>
    <row r="1145" ht="22.5" hidden="1" customHeight="1">
      <c r="A1145" s="4"/>
      <c r="B1145" s="4"/>
      <c r="C1145" s="4"/>
      <c r="D1145" s="4"/>
      <c r="E1145" s="4" t="str">
        <f>IFERROR(VLOOKUP(G1145, 'Padronização'!A:C, 2, FALSE), "")</f>
        <v/>
      </c>
      <c r="F1145" s="23" t="str">
        <f>IFERROR(VLOOKUP(G1145, 'Padronização'!A:C, 3, FALSE), "")</f>
        <v/>
      </c>
      <c r="G1145" s="23"/>
      <c r="H1145" s="33"/>
    </row>
    <row r="1146" ht="22.5" hidden="1" customHeight="1">
      <c r="A1146" s="4"/>
      <c r="B1146" s="4"/>
      <c r="C1146" s="4"/>
      <c r="D1146" s="4"/>
      <c r="E1146" s="4" t="str">
        <f>IFERROR(VLOOKUP(G1146, 'Padronização'!A:C, 2, FALSE), "")</f>
        <v/>
      </c>
      <c r="F1146" s="23" t="str">
        <f>IFERROR(VLOOKUP(G1146, 'Padronização'!A:C, 3, FALSE), "")</f>
        <v/>
      </c>
      <c r="G1146" s="23"/>
      <c r="H1146" s="33"/>
    </row>
    <row r="1147" ht="22.5" hidden="1" customHeight="1">
      <c r="A1147" s="4"/>
      <c r="B1147" s="4"/>
      <c r="C1147" s="4"/>
      <c r="D1147" s="4"/>
      <c r="E1147" s="4" t="str">
        <f>IFERROR(VLOOKUP(G1147, 'Padronização'!A:C, 2, FALSE), "")</f>
        <v/>
      </c>
      <c r="F1147" s="23" t="str">
        <f>IFERROR(VLOOKUP(G1147, 'Padronização'!A:C, 3, FALSE), "")</f>
        <v/>
      </c>
      <c r="G1147" s="23"/>
      <c r="H1147" s="33"/>
    </row>
    <row r="1148" ht="22.5" hidden="1" customHeight="1">
      <c r="A1148" s="4"/>
      <c r="B1148" s="4"/>
      <c r="C1148" s="4"/>
      <c r="D1148" s="4"/>
      <c r="E1148" s="4" t="str">
        <f>IFERROR(VLOOKUP(G1148, 'Padronização'!A:C, 2, FALSE), "")</f>
        <v/>
      </c>
      <c r="F1148" s="23" t="str">
        <f>IFERROR(VLOOKUP(G1148, 'Padronização'!A:C, 3, FALSE), "")</f>
        <v/>
      </c>
      <c r="G1148" s="23"/>
      <c r="H1148" s="33"/>
    </row>
    <row r="1149" ht="22.5" hidden="1" customHeight="1">
      <c r="A1149" s="4"/>
      <c r="B1149" s="4"/>
      <c r="C1149" s="4"/>
      <c r="D1149" s="4"/>
      <c r="E1149" s="4" t="str">
        <f>IFERROR(VLOOKUP(G1149, 'Padronização'!A:C, 2, FALSE), "")</f>
        <v/>
      </c>
      <c r="F1149" s="23" t="str">
        <f>IFERROR(VLOOKUP(G1149, 'Padronização'!A:C, 3, FALSE), "")</f>
        <v/>
      </c>
      <c r="G1149" s="23"/>
      <c r="H1149" s="33"/>
    </row>
    <row r="1150" ht="22.5" hidden="1" customHeight="1">
      <c r="A1150" s="4"/>
      <c r="B1150" s="4"/>
      <c r="C1150" s="4"/>
      <c r="D1150" s="4"/>
      <c r="E1150" s="4" t="str">
        <f>IFERROR(VLOOKUP(G1150, 'Padronização'!A:C, 2, FALSE), "")</f>
        <v/>
      </c>
      <c r="F1150" s="23" t="str">
        <f>IFERROR(VLOOKUP(G1150, 'Padronização'!A:C, 3, FALSE), "")</f>
        <v/>
      </c>
      <c r="G1150" s="23"/>
      <c r="H1150" s="33"/>
    </row>
    <row r="1151" ht="22.5" hidden="1" customHeight="1">
      <c r="A1151" s="4"/>
      <c r="B1151" s="4"/>
      <c r="C1151" s="4"/>
      <c r="D1151" s="4"/>
      <c r="E1151" s="4" t="str">
        <f>IFERROR(VLOOKUP(G1151, 'Padronização'!A:C, 2, FALSE), "")</f>
        <v/>
      </c>
      <c r="F1151" s="23" t="str">
        <f>IFERROR(VLOOKUP(G1151, 'Padronização'!A:C, 3, FALSE), "")</f>
        <v/>
      </c>
      <c r="G1151" s="23"/>
      <c r="H1151" s="33"/>
    </row>
    <row r="1152" ht="22.5" hidden="1" customHeight="1">
      <c r="A1152" s="4"/>
      <c r="B1152" s="4"/>
      <c r="C1152" s="4"/>
      <c r="D1152" s="4"/>
      <c r="E1152" s="4" t="str">
        <f>IFERROR(VLOOKUP(G1152, 'Padronização'!A:C, 2, FALSE), "")</f>
        <v/>
      </c>
      <c r="F1152" s="23" t="str">
        <f>IFERROR(VLOOKUP(G1152, 'Padronização'!A:C, 3, FALSE), "")</f>
        <v/>
      </c>
      <c r="G1152" s="23"/>
      <c r="H1152" s="33"/>
    </row>
    <row r="1153" ht="22.5" hidden="1" customHeight="1">
      <c r="A1153" s="4"/>
      <c r="B1153" s="4"/>
      <c r="C1153" s="4"/>
      <c r="D1153" s="4"/>
      <c r="E1153" s="4" t="str">
        <f>IFERROR(VLOOKUP(G1153, 'Padronização'!A:C, 2, FALSE), "")</f>
        <v/>
      </c>
      <c r="F1153" s="23" t="str">
        <f>IFERROR(VLOOKUP(G1153, 'Padronização'!A:C, 3, FALSE), "")</f>
        <v/>
      </c>
      <c r="G1153" s="23"/>
      <c r="H1153" s="33"/>
    </row>
    <row r="1154" ht="22.5" hidden="1" customHeight="1">
      <c r="A1154" s="4"/>
      <c r="B1154" s="4"/>
      <c r="C1154" s="4"/>
      <c r="D1154" s="4"/>
      <c r="E1154" s="4" t="str">
        <f>IFERROR(VLOOKUP(G1154, 'Padronização'!A:C, 2, FALSE), "")</f>
        <v/>
      </c>
      <c r="F1154" s="23" t="str">
        <f>IFERROR(VLOOKUP(G1154, 'Padronização'!A:C, 3, FALSE), "")</f>
        <v/>
      </c>
      <c r="G1154" s="23"/>
      <c r="H1154" s="33"/>
    </row>
    <row r="1155" ht="22.5" hidden="1" customHeight="1">
      <c r="A1155" s="4"/>
      <c r="B1155" s="4"/>
      <c r="C1155" s="4"/>
      <c r="D1155" s="4"/>
      <c r="E1155" s="4" t="str">
        <f>IFERROR(VLOOKUP(G1155, 'Padronização'!A:C, 2, FALSE), "")</f>
        <v/>
      </c>
      <c r="F1155" s="23" t="str">
        <f>IFERROR(VLOOKUP(G1155, 'Padronização'!A:C, 3, FALSE), "")</f>
        <v/>
      </c>
      <c r="G1155" s="23"/>
      <c r="H1155" s="33"/>
    </row>
    <row r="1156" ht="22.5" hidden="1" customHeight="1">
      <c r="A1156" s="4"/>
      <c r="B1156" s="4"/>
      <c r="C1156" s="4"/>
      <c r="D1156" s="4"/>
      <c r="E1156" s="4" t="str">
        <f>IFERROR(VLOOKUP(G1156, 'Padronização'!A:C, 2, FALSE), "")</f>
        <v/>
      </c>
      <c r="F1156" s="23" t="str">
        <f>IFERROR(VLOOKUP(G1156, 'Padronização'!A:C, 3, FALSE), "")</f>
        <v/>
      </c>
      <c r="G1156" s="23"/>
      <c r="H1156" s="33"/>
    </row>
    <row r="1157" ht="22.5" hidden="1" customHeight="1">
      <c r="A1157" s="4"/>
      <c r="B1157" s="4"/>
      <c r="C1157" s="4"/>
      <c r="D1157" s="4"/>
      <c r="E1157" s="4" t="str">
        <f>IFERROR(VLOOKUP(G1157, 'Padronização'!A:C, 2, FALSE), "")</f>
        <v/>
      </c>
      <c r="F1157" s="23" t="str">
        <f>IFERROR(VLOOKUP(G1157, 'Padronização'!A:C, 3, FALSE), "")</f>
        <v/>
      </c>
      <c r="G1157" s="23"/>
      <c r="H1157" s="33"/>
    </row>
    <row r="1158" ht="22.5" hidden="1" customHeight="1">
      <c r="A1158" s="4"/>
      <c r="B1158" s="4"/>
      <c r="C1158" s="4"/>
      <c r="D1158" s="4"/>
      <c r="E1158" s="4" t="str">
        <f>IFERROR(VLOOKUP(G1158, 'Padronização'!A:C, 2, FALSE), "")</f>
        <v/>
      </c>
      <c r="F1158" s="23" t="str">
        <f>IFERROR(VLOOKUP(G1158, 'Padronização'!A:C, 3, FALSE), "")</f>
        <v/>
      </c>
      <c r="G1158" s="23"/>
      <c r="H1158" s="33"/>
    </row>
    <row r="1159" ht="22.5" hidden="1" customHeight="1">
      <c r="A1159" s="4"/>
      <c r="B1159" s="4"/>
      <c r="C1159" s="4"/>
      <c r="D1159" s="4"/>
      <c r="E1159" s="4" t="str">
        <f>IFERROR(VLOOKUP(G1159, 'Padronização'!A:C, 2, FALSE), "")</f>
        <v/>
      </c>
      <c r="F1159" s="23" t="str">
        <f>IFERROR(VLOOKUP(G1159, 'Padronização'!A:C, 3, FALSE), "")</f>
        <v/>
      </c>
      <c r="G1159" s="23"/>
      <c r="H1159" s="33"/>
    </row>
    <row r="1160" ht="22.5" hidden="1" customHeight="1">
      <c r="A1160" s="4"/>
      <c r="B1160" s="4"/>
      <c r="C1160" s="4"/>
      <c r="D1160" s="4"/>
      <c r="E1160" s="4" t="str">
        <f>IFERROR(VLOOKUP(G1160, 'Padronização'!A:C, 2, FALSE), "")</f>
        <v/>
      </c>
      <c r="F1160" s="23" t="str">
        <f>IFERROR(VLOOKUP(G1160, 'Padronização'!A:C, 3, FALSE), "")</f>
        <v/>
      </c>
      <c r="G1160" s="23"/>
      <c r="H1160" s="33"/>
    </row>
    <row r="1161" ht="22.5" hidden="1" customHeight="1">
      <c r="A1161" s="4"/>
      <c r="B1161" s="4"/>
      <c r="C1161" s="4"/>
      <c r="D1161" s="4"/>
      <c r="E1161" s="4" t="str">
        <f>IFERROR(VLOOKUP(G1161, 'Padronização'!A:C, 2, FALSE), "")</f>
        <v/>
      </c>
      <c r="F1161" s="23" t="str">
        <f>IFERROR(VLOOKUP(G1161, 'Padronização'!A:C, 3, FALSE), "")</f>
        <v/>
      </c>
      <c r="G1161" s="23"/>
      <c r="H1161" s="33"/>
    </row>
    <row r="1162" ht="22.5" hidden="1" customHeight="1">
      <c r="A1162" s="4"/>
      <c r="B1162" s="4"/>
      <c r="C1162" s="4"/>
      <c r="D1162" s="4"/>
      <c r="E1162" s="4" t="str">
        <f>IFERROR(VLOOKUP(G1162, 'Padronização'!A:C, 2, FALSE), "")</f>
        <v/>
      </c>
      <c r="F1162" s="23" t="str">
        <f>IFERROR(VLOOKUP(G1162, 'Padronização'!A:C, 3, FALSE), "")</f>
        <v/>
      </c>
      <c r="G1162" s="23"/>
      <c r="H1162" s="33"/>
    </row>
    <row r="1163" ht="22.5" hidden="1" customHeight="1">
      <c r="A1163" s="4"/>
      <c r="B1163" s="4"/>
      <c r="C1163" s="4"/>
      <c r="D1163" s="4"/>
      <c r="E1163" s="4" t="str">
        <f>IFERROR(VLOOKUP(G1163, 'Padronização'!A:C, 2, FALSE), "")</f>
        <v/>
      </c>
      <c r="F1163" s="23" t="str">
        <f>IFERROR(VLOOKUP(G1163, 'Padronização'!A:C, 3, FALSE), "")</f>
        <v/>
      </c>
      <c r="G1163" s="23"/>
      <c r="H1163" s="33"/>
    </row>
    <row r="1164" ht="22.5" hidden="1" customHeight="1">
      <c r="A1164" s="4"/>
      <c r="B1164" s="4"/>
      <c r="C1164" s="4"/>
      <c r="D1164" s="4"/>
      <c r="E1164" s="4" t="str">
        <f>IFERROR(VLOOKUP(G1164, 'Padronização'!A:C, 2, FALSE), "")</f>
        <v/>
      </c>
      <c r="F1164" s="23" t="str">
        <f>IFERROR(VLOOKUP(G1164, 'Padronização'!A:C, 3, FALSE), "")</f>
        <v/>
      </c>
      <c r="G1164" s="23"/>
      <c r="H1164" s="33"/>
    </row>
    <row r="1165" ht="22.5" hidden="1" customHeight="1">
      <c r="A1165" s="4"/>
      <c r="B1165" s="4"/>
      <c r="C1165" s="4"/>
      <c r="D1165" s="4"/>
      <c r="E1165" s="4" t="str">
        <f>IFERROR(VLOOKUP(G1165, 'Padronização'!A:C, 2, FALSE), "")</f>
        <v/>
      </c>
      <c r="F1165" s="23" t="str">
        <f>IFERROR(VLOOKUP(G1165, 'Padronização'!A:C, 3, FALSE), "")</f>
        <v/>
      </c>
      <c r="G1165" s="23"/>
      <c r="H1165" s="33"/>
    </row>
    <row r="1166" ht="22.5" hidden="1" customHeight="1">
      <c r="A1166" s="4"/>
      <c r="B1166" s="4"/>
      <c r="C1166" s="4"/>
      <c r="D1166" s="4"/>
      <c r="E1166" s="4" t="str">
        <f>IFERROR(VLOOKUP(G1166, 'Padronização'!A:C, 2, FALSE), "")</f>
        <v/>
      </c>
      <c r="F1166" s="23" t="str">
        <f>IFERROR(VLOOKUP(G1166, 'Padronização'!A:C, 3, FALSE), "")</f>
        <v/>
      </c>
      <c r="G1166" s="23"/>
      <c r="H1166" s="33"/>
    </row>
    <row r="1167" ht="22.5" hidden="1" customHeight="1">
      <c r="A1167" s="4"/>
      <c r="B1167" s="4"/>
      <c r="C1167" s="4"/>
      <c r="D1167" s="4"/>
      <c r="E1167" s="4" t="str">
        <f>IFERROR(VLOOKUP(G1167, 'Padronização'!A:C, 2, FALSE), "")</f>
        <v/>
      </c>
      <c r="F1167" s="23" t="str">
        <f>IFERROR(VLOOKUP(G1167, 'Padronização'!A:C, 3, FALSE), "")</f>
        <v/>
      </c>
      <c r="G1167" s="23"/>
      <c r="H1167" s="33"/>
    </row>
    <row r="1168" ht="22.5" hidden="1" customHeight="1">
      <c r="A1168" s="4"/>
      <c r="B1168" s="4"/>
      <c r="C1168" s="4"/>
      <c r="D1168" s="4"/>
      <c r="E1168" s="4" t="str">
        <f>IFERROR(VLOOKUP(G1168, 'Padronização'!A:C, 2, FALSE), "")</f>
        <v/>
      </c>
      <c r="F1168" s="23" t="str">
        <f>IFERROR(VLOOKUP(G1168, 'Padronização'!A:C, 3, FALSE), "")</f>
        <v/>
      </c>
      <c r="G1168" s="23"/>
      <c r="H1168" s="33"/>
    </row>
    <row r="1169" ht="22.5" hidden="1" customHeight="1">
      <c r="A1169" s="4"/>
      <c r="B1169" s="4"/>
      <c r="C1169" s="4"/>
      <c r="D1169" s="4"/>
      <c r="E1169" s="4" t="str">
        <f>IFERROR(VLOOKUP(G1169, 'Padronização'!A:C, 2, FALSE), "")</f>
        <v/>
      </c>
      <c r="F1169" s="23" t="str">
        <f>IFERROR(VLOOKUP(G1169, 'Padronização'!A:C, 3, FALSE), "")</f>
        <v/>
      </c>
      <c r="G1169" s="23"/>
      <c r="H1169" s="33"/>
    </row>
    <row r="1170" ht="22.5" hidden="1" customHeight="1">
      <c r="A1170" s="4"/>
      <c r="B1170" s="4"/>
      <c r="C1170" s="4"/>
      <c r="D1170" s="4"/>
      <c r="E1170" s="4" t="str">
        <f>IFERROR(VLOOKUP(G1170, 'Padronização'!A:C, 2, FALSE), "")</f>
        <v/>
      </c>
      <c r="F1170" s="23" t="str">
        <f>IFERROR(VLOOKUP(G1170, 'Padronização'!A:C, 3, FALSE), "")</f>
        <v/>
      </c>
      <c r="G1170" s="23"/>
      <c r="H1170" s="33"/>
    </row>
    <row r="1171" ht="22.5" hidden="1" customHeight="1">
      <c r="A1171" s="4"/>
      <c r="B1171" s="4"/>
      <c r="C1171" s="4"/>
      <c r="D1171" s="4"/>
      <c r="E1171" s="4" t="str">
        <f>IFERROR(VLOOKUP(G1171, 'Padronização'!A:C, 2, FALSE), "")</f>
        <v/>
      </c>
      <c r="F1171" s="23" t="str">
        <f>IFERROR(VLOOKUP(G1171, 'Padronização'!A:C, 3, FALSE), "")</f>
        <v/>
      </c>
      <c r="G1171" s="23"/>
      <c r="H1171" s="33"/>
    </row>
    <row r="1172" ht="22.5" hidden="1" customHeight="1">
      <c r="A1172" s="4"/>
      <c r="B1172" s="4"/>
      <c r="C1172" s="4"/>
      <c r="D1172" s="4"/>
      <c r="E1172" s="4" t="str">
        <f>IFERROR(VLOOKUP(G1172, 'Padronização'!A:C, 2, FALSE), "")</f>
        <v/>
      </c>
      <c r="F1172" s="23" t="str">
        <f>IFERROR(VLOOKUP(G1172, 'Padronização'!A:C, 3, FALSE), "")</f>
        <v/>
      </c>
      <c r="G1172" s="23"/>
      <c r="H1172" s="33"/>
    </row>
    <row r="1173" ht="22.5" hidden="1" customHeight="1">
      <c r="A1173" s="4"/>
      <c r="B1173" s="4"/>
      <c r="C1173" s="4"/>
      <c r="D1173" s="4"/>
      <c r="E1173" s="4" t="str">
        <f>IFERROR(VLOOKUP(G1173, 'Padronização'!A:C, 2, FALSE), "")</f>
        <v/>
      </c>
      <c r="F1173" s="23" t="str">
        <f>IFERROR(VLOOKUP(G1173, 'Padronização'!A:C, 3, FALSE), "")</f>
        <v/>
      </c>
      <c r="G1173" s="23"/>
      <c r="H1173" s="33"/>
    </row>
    <row r="1174" ht="22.5" hidden="1" customHeight="1">
      <c r="A1174" s="4"/>
      <c r="B1174" s="4"/>
      <c r="C1174" s="4"/>
      <c r="D1174" s="4"/>
      <c r="E1174" s="4" t="str">
        <f>IFERROR(VLOOKUP(G1174, 'Padronização'!A:C, 2, FALSE), "")</f>
        <v/>
      </c>
      <c r="F1174" s="23" t="str">
        <f>IFERROR(VLOOKUP(G1174, 'Padronização'!A:C, 3, FALSE), "")</f>
        <v/>
      </c>
      <c r="G1174" s="23"/>
      <c r="H1174" s="33"/>
    </row>
    <row r="1175" ht="22.5" hidden="1" customHeight="1">
      <c r="A1175" s="4"/>
      <c r="B1175" s="4"/>
      <c r="C1175" s="4"/>
      <c r="D1175" s="4"/>
      <c r="E1175" s="4" t="str">
        <f>IFERROR(VLOOKUP(G1175, 'Padronização'!A:C, 2, FALSE), "")</f>
        <v/>
      </c>
      <c r="F1175" s="23" t="str">
        <f>IFERROR(VLOOKUP(G1175, 'Padronização'!A:C, 3, FALSE), "")</f>
        <v/>
      </c>
      <c r="G1175" s="23"/>
      <c r="H1175" s="33"/>
    </row>
    <row r="1176" ht="22.5" hidden="1" customHeight="1">
      <c r="A1176" s="4"/>
      <c r="B1176" s="4"/>
      <c r="C1176" s="4"/>
      <c r="D1176" s="4"/>
      <c r="E1176" s="4" t="str">
        <f>IFERROR(VLOOKUP(G1176, 'Padronização'!A:C, 2, FALSE), "")</f>
        <v/>
      </c>
      <c r="F1176" s="23" t="str">
        <f>IFERROR(VLOOKUP(G1176, 'Padronização'!A:C, 3, FALSE), "")</f>
        <v/>
      </c>
      <c r="G1176" s="23"/>
      <c r="H1176" s="33"/>
    </row>
    <row r="1177" ht="22.5" hidden="1" customHeight="1">
      <c r="A1177" s="4"/>
      <c r="B1177" s="4"/>
      <c r="C1177" s="4"/>
      <c r="D1177" s="4"/>
      <c r="E1177" s="4" t="str">
        <f>IFERROR(VLOOKUP(G1177, 'Padronização'!A:C, 2, FALSE), "")</f>
        <v/>
      </c>
      <c r="F1177" s="23" t="str">
        <f>IFERROR(VLOOKUP(G1177, 'Padronização'!A:C, 3, FALSE), "")</f>
        <v/>
      </c>
      <c r="G1177" s="23"/>
      <c r="H1177" s="33"/>
    </row>
    <row r="1178" ht="22.5" hidden="1" customHeight="1">
      <c r="A1178" s="4"/>
      <c r="B1178" s="4"/>
      <c r="C1178" s="4"/>
      <c r="D1178" s="4"/>
      <c r="E1178" s="4" t="str">
        <f>IFERROR(VLOOKUP(G1178, 'Padronização'!A:C, 2, FALSE), "")</f>
        <v/>
      </c>
      <c r="F1178" s="23" t="str">
        <f>IFERROR(VLOOKUP(G1178, 'Padronização'!A:C, 3, FALSE), "")</f>
        <v/>
      </c>
      <c r="G1178" s="23"/>
      <c r="H1178" s="33"/>
    </row>
    <row r="1179" ht="22.5" hidden="1" customHeight="1">
      <c r="A1179" s="4"/>
      <c r="B1179" s="4"/>
      <c r="C1179" s="4"/>
      <c r="D1179" s="4"/>
      <c r="E1179" s="4" t="str">
        <f>IFERROR(VLOOKUP(G1179, 'Padronização'!A:C, 2, FALSE), "")</f>
        <v/>
      </c>
      <c r="F1179" s="23" t="str">
        <f>IFERROR(VLOOKUP(G1179, 'Padronização'!A:C, 3, FALSE), "")</f>
        <v/>
      </c>
      <c r="G1179" s="23"/>
      <c r="H1179" s="33"/>
    </row>
    <row r="1180" ht="22.5" hidden="1" customHeight="1">
      <c r="A1180" s="4"/>
      <c r="B1180" s="4"/>
      <c r="C1180" s="4"/>
      <c r="D1180" s="4"/>
      <c r="E1180" s="4" t="str">
        <f>IFERROR(VLOOKUP(G1180, 'Padronização'!A:C, 2, FALSE), "")</f>
        <v/>
      </c>
      <c r="F1180" s="23" t="str">
        <f>IFERROR(VLOOKUP(G1180, 'Padronização'!A:C, 3, FALSE), "")</f>
        <v/>
      </c>
      <c r="G1180" s="23"/>
      <c r="H1180" s="33"/>
    </row>
    <row r="1181" ht="22.5" hidden="1" customHeight="1">
      <c r="A1181" s="4"/>
      <c r="B1181" s="4"/>
      <c r="C1181" s="4"/>
      <c r="D1181" s="4"/>
      <c r="E1181" s="4" t="str">
        <f>IFERROR(VLOOKUP(G1181, 'Padronização'!A:C, 2, FALSE), "")</f>
        <v/>
      </c>
      <c r="F1181" s="23" t="str">
        <f>IFERROR(VLOOKUP(G1181, 'Padronização'!A:C, 3, FALSE), "")</f>
        <v/>
      </c>
      <c r="G1181" s="23"/>
      <c r="H1181" s="33"/>
    </row>
    <row r="1182" ht="22.5" hidden="1" customHeight="1">
      <c r="A1182" s="4"/>
      <c r="B1182" s="4"/>
      <c r="C1182" s="4"/>
      <c r="D1182" s="4"/>
      <c r="E1182" s="4" t="str">
        <f>IFERROR(VLOOKUP(G1182, 'Padronização'!A:C, 2, FALSE), "")</f>
        <v/>
      </c>
      <c r="F1182" s="23" t="str">
        <f>IFERROR(VLOOKUP(G1182, 'Padronização'!A:C, 3, FALSE), "")</f>
        <v/>
      </c>
      <c r="G1182" s="23"/>
      <c r="H1182" s="33"/>
    </row>
    <row r="1183" ht="22.5" hidden="1" customHeight="1">
      <c r="A1183" s="4"/>
      <c r="B1183" s="4"/>
      <c r="C1183" s="4"/>
      <c r="D1183" s="4"/>
      <c r="E1183" s="4" t="str">
        <f>IFERROR(VLOOKUP(G1183, 'Padronização'!A:C, 2, FALSE), "")</f>
        <v/>
      </c>
      <c r="F1183" s="23" t="str">
        <f>IFERROR(VLOOKUP(G1183, 'Padronização'!A:C, 3, FALSE), "")</f>
        <v/>
      </c>
      <c r="G1183" s="23"/>
      <c r="H1183" s="33"/>
    </row>
    <row r="1184" ht="22.5" hidden="1" customHeight="1">
      <c r="A1184" s="4"/>
      <c r="B1184" s="4"/>
      <c r="C1184" s="4"/>
      <c r="D1184" s="4"/>
      <c r="E1184" s="4" t="str">
        <f>IFERROR(VLOOKUP(G1184, 'Padronização'!A:C, 2, FALSE), "")</f>
        <v/>
      </c>
      <c r="F1184" s="23" t="str">
        <f>IFERROR(VLOOKUP(G1184, 'Padronização'!A:C, 3, FALSE), "")</f>
        <v/>
      </c>
      <c r="G1184" s="23"/>
      <c r="H1184" s="33"/>
    </row>
    <row r="1185" ht="22.5" hidden="1" customHeight="1">
      <c r="A1185" s="4"/>
      <c r="B1185" s="4"/>
      <c r="C1185" s="4"/>
      <c r="D1185" s="4"/>
      <c r="E1185" s="4" t="str">
        <f>IFERROR(VLOOKUP(G1185, 'Padronização'!A:C, 2, FALSE), "")</f>
        <v/>
      </c>
      <c r="F1185" s="23" t="str">
        <f>IFERROR(VLOOKUP(G1185, 'Padronização'!A:C, 3, FALSE), "")</f>
        <v/>
      </c>
      <c r="G1185" s="23"/>
      <c r="H1185" s="33"/>
    </row>
    <row r="1186" ht="22.5" hidden="1" customHeight="1">
      <c r="A1186" s="4"/>
      <c r="B1186" s="4"/>
      <c r="C1186" s="4"/>
      <c r="D1186" s="4"/>
      <c r="E1186" s="4" t="str">
        <f>IFERROR(VLOOKUP(G1186, 'Padronização'!A:C, 2, FALSE), "")</f>
        <v/>
      </c>
      <c r="F1186" s="23" t="str">
        <f>IFERROR(VLOOKUP(G1186, 'Padronização'!A:C, 3, FALSE), "")</f>
        <v/>
      </c>
      <c r="G1186" s="23"/>
      <c r="H1186" s="33"/>
    </row>
    <row r="1187" ht="22.5" hidden="1" customHeight="1">
      <c r="A1187" s="4"/>
      <c r="B1187" s="4"/>
      <c r="C1187" s="4"/>
      <c r="D1187" s="4"/>
      <c r="E1187" s="4" t="str">
        <f>IFERROR(VLOOKUP(G1187, 'Padronização'!A:C, 2, FALSE), "")</f>
        <v/>
      </c>
      <c r="F1187" s="23" t="str">
        <f>IFERROR(VLOOKUP(G1187, 'Padronização'!A:C, 3, FALSE), "")</f>
        <v/>
      </c>
      <c r="G1187" s="23"/>
      <c r="H1187" s="33"/>
    </row>
    <row r="1188" ht="22.5" hidden="1" customHeight="1">
      <c r="A1188" s="4"/>
      <c r="B1188" s="4"/>
      <c r="C1188" s="4"/>
      <c r="D1188" s="4"/>
      <c r="E1188" s="4" t="str">
        <f>IFERROR(VLOOKUP(G1188, 'Padronização'!A:C, 2, FALSE), "")</f>
        <v/>
      </c>
      <c r="F1188" s="23" t="str">
        <f>IFERROR(VLOOKUP(G1188, 'Padronização'!A:C, 3, FALSE), "")</f>
        <v/>
      </c>
      <c r="G1188" s="23"/>
      <c r="H1188" s="33"/>
    </row>
    <row r="1189" ht="22.5" hidden="1" customHeight="1">
      <c r="A1189" s="4"/>
      <c r="B1189" s="4"/>
      <c r="C1189" s="4"/>
      <c r="D1189" s="4"/>
      <c r="E1189" s="4" t="str">
        <f>IFERROR(VLOOKUP(G1189, 'Padronização'!A:C, 2, FALSE), "")</f>
        <v/>
      </c>
      <c r="F1189" s="23" t="str">
        <f>IFERROR(VLOOKUP(G1189, 'Padronização'!A:C, 3, FALSE), "")</f>
        <v/>
      </c>
      <c r="G1189" s="23"/>
      <c r="H1189" s="33"/>
    </row>
    <row r="1190" ht="22.5" hidden="1" customHeight="1">
      <c r="A1190" s="4"/>
      <c r="B1190" s="4"/>
      <c r="C1190" s="4"/>
      <c r="D1190" s="4"/>
      <c r="E1190" s="4" t="str">
        <f>IFERROR(VLOOKUP(G1190, 'Padronização'!A:C, 2, FALSE), "")</f>
        <v/>
      </c>
      <c r="F1190" s="23" t="str">
        <f>IFERROR(VLOOKUP(G1190, 'Padronização'!A:C, 3, FALSE), "")</f>
        <v/>
      </c>
      <c r="G1190" s="23"/>
      <c r="H1190" s="33"/>
    </row>
    <row r="1191" ht="22.5" hidden="1" customHeight="1">
      <c r="A1191" s="4"/>
      <c r="B1191" s="4"/>
      <c r="C1191" s="4"/>
      <c r="D1191" s="4"/>
      <c r="E1191" s="4" t="str">
        <f>IFERROR(VLOOKUP(G1191, 'Padronização'!A:C, 2, FALSE), "")</f>
        <v/>
      </c>
      <c r="F1191" s="23" t="str">
        <f>IFERROR(VLOOKUP(G1191, 'Padronização'!A:C, 3, FALSE), "")</f>
        <v/>
      </c>
      <c r="G1191" s="23"/>
      <c r="H1191" s="33"/>
    </row>
    <row r="1192" ht="22.5" hidden="1" customHeight="1">
      <c r="A1192" s="4"/>
      <c r="B1192" s="4"/>
      <c r="C1192" s="4"/>
      <c r="D1192" s="4"/>
      <c r="E1192" s="4" t="str">
        <f>IFERROR(VLOOKUP(G1192, 'Padronização'!A:C, 2, FALSE), "")</f>
        <v/>
      </c>
      <c r="F1192" s="23" t="str">
        <f>IFERROR(VLOOKUP(G1192, 'Padronização'!A:C, 3, FALSE), "")</f>
        <v/>
      </c>
      <c r="G1192" s="23"/>
      <c r="H1192" s="33"/>
    </row>
    <row r="1193" ht="22.5" hidden="1" customHeight="1">
      <c r="A1193" s="4"/>
      <c r="B1193" s="4"/>
      <c r="C1193" s="4"/>
      <c r="D1193" s="4"/>
      <c r="E1193" s="4" t="str">
        <f>IFERROR(VLOOKUP(G1193, 'Padronização'!A:C, 2, FALSE), "")</f>
        <v/>
      </c>
      <c r="F1193" s="23" t="str">
        <f>IFERROR(VLOOKUP(G1193, 'Padronização'!A:C, 3, FALSE), "")</f>
        <v/>
      </c>
      <c r="G1193" s="23"/>
      <c r="H1193" s="33"/>
    </row>
    <row r="1194" ht="22.5" hidden="1" customHeight="1">
      <c r="A1194" s="4"/>
      <c r="B1194" s="4"/>
      <c r="C1194" s="4"/>
      <c r="D1194" s="4"/>
      <c r="E1194" s="4" t="str">
        <f>IFERROR(VLOOKUP(G1194, 'Padronização'!A:C, 2, FALSE), "")</f>
        <v/>
      </c>
      <c r="F1194" s="23" t="str">
        <f>IFERROR(VLOOKUP(G1194, 'Padronização'!A:C, 3, FALSE), "")</f>
        <v/>
      </c>
      <c r="G1194" s="23"/>
      <c r="H1194" s="33"/>
    </row>
    <row r="1195" ht="22.5" hidden="1" customHeight="1">
      <c r="A1195" s="4"/>
      <c r="B1195" s="4"/>
      <c r="C1195" s="4"/>
      <c r="D1195" s="4"/>
      <c r="E1195" s="4" t="str">
        <f>IFERROR(VLOOKUP(G1195, 'Padronização'!A:C, 2, FALSE), "")</f>
        <v/>
      </c>
      <c r="F1195" s="23" t="str">
        <f>IFERROR(VLOOKUP(G1195, 'Padronização'!A:C, 3, FALSE), "")</f>
        <v/>
      </c>
      <c r="G1195" s="23"/>
      <c r="H1195" s="33"/>
    </row>
    <row r="1196" ht="22.5" hidden="1" customHeight="1">
      <c r="A1196" s="4"/>
      <c r="B1196" s="4"/>
      <c r="C1196" s="4"/>
      <c r="D1196" s="4"/>
      <c r="E1196" s="4" t="str">
        <f>IFERROR(VLOOKUP(G1196, 'Padronização'!A:C, 2, FALSE), "")</f>
        <v/>
      </c>
      <c r="F1196" s="23" t="str">
        <f>IFERROR(VLOOKUP(G1196, 'Padronização'!A:C, 3, FALSE), "")</f>
        <v/>
      </c>
      <c r="G1196" s="23"/>
      <c r="H1196" s="33"/>
    </row>
    <row r="1197" ht="22.5" hidden="1" customHeight="1">
      <c r="A1197" s="4"/>
      <c r="B1197" s="4"/>
      <c r="C1197" s="4"/>
      <c r="D1197" s="4"/>
      <c r="E1197" s="4" t="str">
        <f>IFERROR(VLOOKUP(G1197, 'Padronização'!A:C, 2, FALSE), "")</f>
        <v/>
      </c>
      <c r="F1197" s="23" t="str">
        <f>IFERROR(VLOOKUP(G1197, 'Padronização'!A:C, 3, FALSE), "")</f>
        <v/>
      </c>
      <c r="G1197" s="23"/>
      <c r="H1197" s="33"/>
    </row>
    <row r="1198" ht="22.5" hidden="1" customHeight="1">
      <c r="A1198" s="4"/>
      <c r="B1198" s="4"/>
      <c r="C1198" s="4"/>
      <c r="D1198" s="4"/>
      <c r="E1198" s="4" t="str">
        <f>IFERROR(VLOOKUP(G1198, 'Padronização'!A:C, 2, FALSE), "")</f>
        <v/>
      </c>
      <c r="F1198" s="23" t="str">
        <f>IFERROR(VLOOKUP(G1198, 'Padronização'!A:C, 3, FALSE), "")</f>
        <v/>
      </c>
      <c r="G1198" s="23"/>
      <c r="H1198" s="33"/>
    </row>
    <row r="1199" ht="22.5" hidden="1" customHeight="1">
      <c r="A1199" s="4"/>
      <c r="B1199" s="4"/>
      <c r="C1199" s="4"/>
      <c r="D1199" s="4"/>
      <c r="E1199" s="4" t="str">
        <f>IFERROR(VLOOKUP(G1199, 'Padronização'!A:C, 2, FALSE), "")</f>
        <v/>
      </c>
      <c r="F1199" s="23" t="str">
        <f>IFERROR(VLOOKUP(G1199, 'Padronização'!A:C, 3, FALSE), "")</f>
        <v/>
      </c>
      <c r="G1199" s="23"/>
      <c r="H1199" s="3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54.88"/>
    <col customWidth="1" min="5" max="5" width="14.75"/>
    <col customWidth="1" min="6" max="6" width="39.13"/>
    <col customWidth="1" min="7" max="7" width="12.25"/>
    <col customWidth="1" min="8" max="8" width="21.0"/>
    <col customWidth="1" min="9" max="9" width="17.13"/>
    <col customWidth="1" min="10" max="10" width="18.75"/>
    <col customWidth="1" min="11" max="11" width="19.13"/>
    <col customWidth="1" min="12" max="12" width="24.25"/>
    <col customWidth="1" min="13" max="13" width="18.38"/>
    <col customWidth="1" min="14" max="14" width="18.13"/>
    <col customWidth="1" min="15" max="15" width="15.75"/>
    <col customWidth="1" min="16" max="16" width="18.13"/>
  </cols>
  <sheetData>
    <row r="1" ht="22.5" customHeight="1">
      <c r="A1" s="2" t="s">
        <v>1</v>
      </c>
      <c r="B1" s="2" t="s">
        <v>4</v>
      </c>
      <c r="C1" s="2" t="s">
        <v>6</v>
      </c>
      <c r="D1" s="2" t="s">
        <v>7</v>
      </c>
      <c r="E1" s="2" t="s">
        <v>9</v>
      </c>
      <c r="F1" s="2" t="s">
        <v>11</v>
      </c>
      <c r="G1" s="5" t="s">
        <v>0</v>
      </c>
      <c r="H1" s="5" t="s">
        <v>14</v>
      </c>
      <c r="I1" s="5" t="s">
        <v>16</v>
      </c>
      <c r="J1" s="5" t="s">
        <v>18</v>
      </c>
      <c r="K1" s="5" t="s">
        <v>20</v>
      </c>
      <c r="L1" s="5" t="s">
        <v>21</v>
      </c>
      <c r="M1" s="5" t="s">
        <v>22</v>
      </c>
      <c r="N1" s="5" t="s">
        <v>23</v>
      </c>
    </row>
    <row r="2" ht="22.5" customHeight="1">
      <c r="A2" s="13" t="s">
        <v>30</v>
      </c>
      <c r="B2" s="13">
        <v>2026.0</v>
      </c>
      <c r="C2" s="13" t="s">
        <v>33</v>
      </c>
      <c r="D2" s="13" t="s">
        <v>63</v>
      </c>
      <c r="E2" s="13" t="s">
        <v>37</v>
      </c>
      <c r="F2" s="6" t="str">
        <f>IFERROR(VLOOKUP(G2, 'Padronização'!A:C, 3, FALSE), "")</f>
        <v>ABM/MAS focado em comportamento humano cognitivo</v>
      </c>
      <c r="G2" s="7" t="s">
        <v>47</v>
      </c>
      <c r="H2" s="8" t="s">
        <v>65</v>
      </c>
      <c r="I2" s="9" t="s">
        <v>66</v>
      </c>
      <c r="J2" s="9" t="s">
        <v>53</v>
      </c>
      <c r="K2" s="18" t="s">
        <v>67</v>
      </c>
      <c r="L2" s="14" t="s">
        <v>53</v>
      </c>
      <c r="M2" s="11">
        <f t="shared" ref="M2:M274" si="1">IF(H2="","", 
IF(OR(H2="tornado",H2="vulcão",H2="enchente",H2="terremoto",H2="tsunami",H2="incêndio",H2="furacão",H2="deslizamento",H2="i. químico",H2="i. nuclear",H2="ataque",H2="guerra",H2="multirriscos"),2,0)+
IF(OR(I2="cidade",I2="regional",I2="urbano"),2,0)+
IF(J2="sim",2,IF(J2="parcial",1,0))+
IF(OR(K2="NetLogo",K2="Mesa",K2="GAMA",K2="Unity",K2="MATLAB",K2="Python"),2,0)+
IF(L2="sim",1,-10)
)</f>
        <v>7</v>
      </c>
      <c r="N2" s="12" t="str">
        <f t="shared" ref="N2:N274" si="2">IF(M2="","",IF(M2&lt;=0,"EXCLUIR",
IF(M2&gt;=8,"ALTÍSSIMA",
IF(M2&gt;=6,"ALTA",
IF(M2&gt;=4,"MÉDIA",
"BAIXA")))))
</f>
        <v>ALTA</v>
      </c>
    </row>
    <row r="3" ht="22.5" customHeight="1">
      <c r="A3" s="4" t="s">
        <v>30</v>
      </c>
      <c r="B3" s="4">
        <v>2026.0</v>
      </c>
      <c r="C3" s="4" t="s">
        <v>33</v>
      </c>
      <c r="D3" s="4" t="s">
        <v>35</v>
      </c>
      <c r="E3" s="4" t="s">
        <v>37</v>
      </c>
      <c r="F3" s="6" t="str">
        <f>IFERROR(VLOOKUP(G3, 'Padronização'!A:C, 3, FALSE), "")</f>
        <v>ABM/MAS focado em comportamento humano cognitivo</v>
      </c>
      <c r="G3" s="7" t="s">
        <v>47</v>
      </c>
      <c r="H3" s="8" t="s">
        <v>49</v>
      </c>
      <c r="I3" s="9" t="s">
        <v>51</v>
      </c>
      <c r="J3" s="9" t="s">
        <v>53</v>
      </c>
      <c r="K3" s="9" t="s">
        <v>55</v>
      </c>
      <c r="L3" s="9" t="s">
        <v>53</v>
      </c>
      <c r="M3" s="11">
        <f t="shared" si="1"/>
        <v>9</v>
      </c>
      <c r="N3" s="12" t="str">
        <f t="shared" si="2"/>
        <v>ALTÍSSIMA</v>
      </c>
    </row>
    <row r="4" ht="22.5" customHeight="1">
      <c r="A4" s="4" t="s">
        <v>30</v>
      </c>
      <c r="B4" s="4">
        <v>2026.0</v>
      </c>
      <c r="C4" s="4" t="s">
        <v>33</v>
      </c>
      <c r="D4" s="4" t="s">
        <v>79</v>
      </c>
      <c r="E4" s="4" t="s">
        <v>37</v>
      </c>
      <c r="F4" s="6" t="str">
        <f>IFERROR(VLOOKUP(G4, 'Padronização'!A:C, 3, FALSE), "")</f>
        <v>ABM/MAS aplicado à evacuação</v>
      </c>
      <c r="G4" s="7" t="s">
        <v>45</v>
      </c>
      <c r="H4" s="8" t="s">
        <v>65</v>
      </c>
      <c r="I4" s="9" t="s">
        <v>66</v>
      </c>
      <c r="J4" s="9" t="s">
        <v>53</v>
      </c>
      <c r="K4" s="9" t="s">
        <v>83</v>
      </c>
      <c r="L4" s="9" t="s">
        <v>53</v>
      </c>
      <c r="M4" s="11">
        <f t="shared" si="1"/>
        <v>5</v>
      </c>
      <c r="N4" s="12" t="str">
        <f t="shared" si="2"/>
        <v>MÉDIA</v>
      </c>
    </row>
    <row r="5" ht="22.5" customHeight="1">
      <c r="A5" s="4" t="s">
        <v>30</v>
      </c>
      <c r="B5" s="4">
        <v>2026.0</v>
      </c>
      <c r="C5" s="4" t="s">
        <v>33</v>
      </c>
      <c r="D5" s="4" t="s">
        <v>64</v>
      </c>
      <c r="E5" s="4" t="s">
        <v>37</v>
      </c>
      <c r="F5" s="6" t="str">
        <f>IFERROR(VLOOKUP(G5, 'Padronização'!A:C, 3, FALSE), "")</f>
        <v>ABM/MAS focado em comportamento humano cognitivo</v>
      </c>
      <c r="G5" s="7" t="s">
        <v>47</v>
      </c>
      <c r="H5" s="8" t="s">
        <v>49</v>
      </c>
      <c r="I5" s="9" t="s">
        <v>51</v>
      </c>
      <c r="J5" s="9" t="s">
        <v>53</v>
      </c>
      <c r="K5" s="9" t="s">
        <v>68</v>
      </c>
      <c r="L5" s="9" t="s">
        <v>53</v>
      </c>
      <c r="M5" s="11">
        <f t="shared" si="1"/>
        <v>9</v>
      </c>
      <c r="N5" s="12" t="str">
        <f t="shared" si="2"/>
        <v>ALTÍSSIMA</v>
      </c>
    </row>
    <row r="6" ht="22.5" customHeight="1">
      <c r="A6" s="4" t="s">
        <v>30</v>
      </c>
      <c r="B6" s="4">
        <v>2026.0</v>
      </c>
      <c r="C6" s="4" t="s">
        <v>33</v>
      </c>
      <c r="D6" s="4" t="s">
        <v>76</v>
      </c>
      <c r="E6" s="4" t="s">
        <v>37</v>
      </c>
      <c r="F6" s="6" t="str">
        <f>IFERROR(VLOOKUP(G6, 'Padronização'!A:C, 3, FALSE), "")</f>
        <v>ABM/MAS aplicado à evacuação</v>
      </c>
      <c r="G6" s="7" t="s">
        <v>45</v>
      </c>
      <c r="H6" s="8" t="s">
        <v>65</v>
      </c>
      <c r="I6" s="9" t="s">
        <v>51</v>
      </c>
      <c r="J6" s="9" t="s">
        <v>100</v>
      </c>
      <c r="K6" s="9" t="s">
        <v>94</v>
      </c>
      <c r="L6" s="9" t="s">
        <v>53</v>
      </c>
      <c r="M6" s="11">
        <f t="shared" si="1"/>
        <v>6</v>
      </c>
      <c r="N6" s="12" t="str">
        <f t="shared" si="2"/>
        <v>ALTA</v>
      </c>
    </row>
    <row r="7" ht="22.5" customHeight="1">
      <c r="A7" s="4" t="s">
        <v>30</v>
      </c>
      <c r="B7" s="4">
        <v>2026.0</v>
      </c>
      <c r="C7" s="4" t="s">
        <v>33</v>
      </c>
      <c r="D7" s="4" t="s">
        <v>78</v>
      </c>
      <c r="E7" s="4" t="s">
        <v>37</v>
      </c>
      <c r="F7" s="6" t="str">
        <f>IFERROR(VLOOKUP(G7, 'Padronização'!A:C, 3, FALSE), "")</f>
        <v>ABM/MAS aplicado à evacuação</v>
      </c>
      <c r="G7" s="7" t="s">
        <v>45</v>
      </c>
      <c r="H7" s="8" t="s">
        <v>65</v>
      </c>
      <c r="I7" s="9" t="s">
        <v>66</v>
      </c>
      <c r="J7" s="9" t="s">
        <v>100</v>
      </c>
      <c r="K7" s="9" t="s">
        <v>94</v>
      </c>
      <c r="L7" s="9" t="s">
        <v>53</v>
      </c>
      <c r="M7" s="11">
        <f t="shared" si="1"/>
        <v>4</v>
      </c>
      <c r="N7" s="12" t="str">
        <f t="shared" si="2"/>
        <v>MÉDIA</v>
      </c>
    </row>
    <row r="8" ht="22.5" customHeight="1">
      <c r="A8" s="4" t="s">
        <v>30</v>
      </c>
      <c r="B8" s="4">
        <v>2026.0</v>
      </c>
      <c r="C8" s="4" t="s">
        <v>33</v>
      </c>
      <c r="D8" s="4" t="s">
        <v>108</v>
      </c>
      <c r="E8" s="4" t="s">
        <v>37</v>
      </c>
      <c r="F8" s="6" t="str">
        <f>IFERROR(VLOOKUP(G8, 'Padronização'!A:C, 3, FALSE), "")</f>
        <v>ABM/MAS aplicado à evacuação</v>
      </c>
      <c r="G8" s="7" t="s">
        <v>45</v>
      </c>
      <c r="H8" s="8" t="s">
        <v>110</v>
      </c>
      <c r="I8" s="9" t="s">
        <v>66</v>
      </c>
      <c r="J8" s="9" t="s">
        <v>53</v>
      </c>
      <c r="K8" s="9" t="s">
        <v>68</v>
      </c>
      <c r="L8" s="9" t="s">
        <v>53</v>
      </c>
      <c r="M8" s="11">
        <f t="shared" si="1"/>
        <v>7</v>
      </c>
      <c r="N8" s="12" t="str">
        <f t="shared" si="2"/>
        <v>ALTA</v>
      </c>
    </row>
    <row r="9" ht="22.5" customHeight="1">
      <c r="A9" s="4" t="s">
        <v>30</v>
      </c>
      <c r="B9" s="4">
        <v>2026.0</v>
      </c>
      <c r="C9" s="4" t="s">
        <v>87</v>
      </c>
      <c r="D9" s="4" t="s">
        <v>89</v>
      </c>
      <c r="E9" s="4" t="s">
        <v>37</v>
      </c>
      <c r="F9" s="6" t="str">
        <f>IFERROR(VLOOKUP(G9, 'Padronização'!A:C, 3, FALSE), "")</f>
        <v>ABM/MAS focado em comportamento humano cognitivo</v>
      </c>
      <c r="G9" s="7" t="s">
        <v>47</v>
      </c>
      <c r="H9" s="8" t="s">
        <v>115</v>
      </c>
      <c r="I9" s="21"/>
      <c r="J9" s="21"/>
      <c r="K9" s="21"/>
      <c r="L9" s="9" t="s">
        <v>61</v>
      </c>
      <c r="M9" s="11">
        <f t="shared" si="1"/>
        <v>-10</v>
      </c>
      <c r="N9" s="12" t="str">
        <f t="shared" si="2"/>
        <v>EXCLUIR</v>
      </c>
    </row>
    <row r="10" ht="22.5" customHeight="1">
      <c r="A10" s="4" t="s">
        <v>30</v>
      </c>
      <c r="B10" s="4">
        <v>2025.0</v>
      </c>
      <c r="C10" s="4" t="s">
        <v>33</v>
      </c>
      <c r="D10" s="4" t="s">
        <v>119</v>
      </c>
      <c r="E10" s="4" t="s">
        <v>37</v>
      </c>
      <c r="F10" s="6" t="str">
        <f>IFERROR(VLOOKUP(G10, 'Padronização'!A:C, 3, FALSE), "")</f>
        <v>ABM/MAS aplicado à evacuação</v>
      </c>
      <c r="G10" s="7" t="s">
        <v>45</v>
      </c>
      <c r="H10" s="8" t="s">
        <v>65</v>
      </c>
      <c r="I10" s="9" t="s">
        <v>66</v>
      </c>
      <c r="J10" s="9" t="s">
        <v>53</v>
      </c>
      <c r="K10" s="9" t="s">
        <v>83</v>
      </c>
      <c r="L10" s="9" t="s">
        <v>53</v>
      </c>
      <c r="M10" s="11">
        <f t="shared" si="1"/>
        <v>5</v>
      </c>
      <c r="N10" s="12" t="str">
        <f t="shared" si="2"/>
        <v>MÉDIA</v>
      </c>
    </row>
    <row r="11" ht="22.5" customHeight="1">
      <c r="A11" s="4" t="s">
        <v>30</v>
      </c>
      <c r="B11" s="4">
        <v>2025.0</v>
      </c>
      <c r="C11" s="4" t="s">
        <v>33</v>
      </c>
      <c r="D11" s="4" t="s">
        <v>72</v>
      </c>
      <c r="E11" s="4" t="s">
        <v>37</v>
      </c>
      <c r="F11" s="6" t="str">
        <f>IFERROR(VLOOKUP(G11, 'Padronização'!A:C, 3, FALSE), "")</f>
        <v>ABM/MAS focado em comportamento humano cognitivo</v>
      </c>
      <c r="G11" s="7" t="s">
        <v>47</v>
      </c>
      <c r="H11" s="8" t="s">
        <v>49</v>
      </c>
      <c r="I11" s="9" t="s">
        <v>51</v>
      </c>
      <c r="J11" s="9" t="s">
        <v>53</v>
      </c>
      <c r="K11" s="9" t="s">
        <v>68</v>
      </c>
      <c r="L11" s="9" t="s">
        <v>53</v>
      </c>
      <c r="M11" s="11">
        <f t="shared" si="1"/>
        <v>9</v>
      </c>
      <c r="N11" s="12" t="str">
        <f t="shared" si="2"/>
        <v>ALTÍSSIMA</v>
      </c>
    </row>
    <row r="12" ht="22.5" customHeight="1">
      <c r="A12" s="4" t="s">
        <v>30</v>
      </c>
      <c r="B12" s="4">
        <v>2025.0</v>
      </c>
      <c r="C12" s="4" t="s">
        <v>33</v>
      </c>
      <c r="D12" s="4" t="s">
        <v>75</v>
      </c>
      <c r="E12" s="4" t="s">
        <v>37</v>
      </c>
      <c r="F12" s="6" t="str">
        <f>IFERROR(VLOOKUP(G12, 'Padronização'!A:C, 3, FALSE), "")</f>
        <v>ABM/MAS focado em comportamento humano cognitivo</v>
      </c>
      <c r="G12" s="7" t="s">
        <v>47</v>
      </c>
      <c r="H12" s="8" t="s">
        <v>49</v>
      </c>
      <c r="I12" s="9" t="s">
        <v>51</v>
      </c>
      <c r="J12" s="9" t="s">
        <v>53</v>
      </c>
      <c r="K12" s="9" t="s">
        <v>68</v>
      </c>
      <c r="L12" s="9" t="s">
        <v>53</v>
      </c>
      <c r="M12" s="11">
        <f t="shared" si="1"/>
        <v>9</v>
      </c>
      <c r="N12" s="12" t="str">
        <f t="shared" si="2"/>
        <v>ALTÍSSIMA</v>
      </c>
    </row>
    <row r="13" ht="22.5" customHeight="1">
      <c r="A13" s="4" t="s">
        <v>30</v>
      </c>
      <c r="B13" s="4">
        <v>2025.0</v>
      </c>
      <c r="C13" s="4" t="s">
        <v>33</v>
      </c>
      <c r="D13" s="4" t="s">
        <v>129</v>
      </c>
      <c r="E13" s="4" t="s">
        <v>37</v>
      </c>
      <c r="F13" s="6" t="str">
        <f>IFERROR(VLOOKUP(G13, 'Padronização'!A:C, 3, FALSE), "")</f>
        <v>ABM/MAS aplicado à evacuação</v>
      </c>
      <c r="G13" s="7" t="s">
        <v>45</v>
      </c>
      <c r="H13" s="8" t="s">
        <v>65</v>
      </c>
      <c r="I13" s="9" t="s">
        <v>51</v>
      </c>
      <c r="J13" s="9" t="s">
        <v>53</v>
      </c>
      <c r="K13" s="9" t="s">
        <v>68</v>
      </c>
      <c r="L13" s="9" t="s">
        <v>53</v>
      </c>
      <c r="M13" s="11">
        <f t="shared" si="1"/>
        <v>9</v>
      </c>
      <c r="N13" s="12" t="str">
        <f t="shared" si="2"/>
        <v>ALTÍSSIMA</v>
      </c>
    </row>
    <row r="14" ht="22.5" customHeight="1">
      <c r="A14" s="4" t="s">
        <v>30</v>
      </c>
      <c r="B14" s="4">
        <v>2025.0</v>
      </c>
      <c r="C14" s="4" t="s">
        <v>33</v>
      </c>
      <c r="D14" s="4" t="s">
        <v>132</v>
      </c>
      <c r="E14" s="4" t="s">
        <v>37</v>
      </c>
      <c r="F14" s="6" t="str">
        <f>IFERROR(VLOOKUP(G14, 'Padronização'!A:C, 3, FALSE), "")</f>
        <v>ABM/MAS aplicado à evacuação</v>
      </c>
      <c r="G14" s="7" t="s">
        <v>45</v>
      </c>
      <c r="H14" s="8" t="s">
        <v>65</v>
      </c>
      <c r="I14" s="9" t="s">
        <v>51</v>
      </c>
      <c r="J14" s="9" t="s">
        <v>53</v>
      </c>
      <c r="K14" s="9" t="s">
        <v>94</v>
      </c>
      <c r="L14" s="9" t="s">
        <v>53</v>
      </c>
      <c r="M14" s="11">
        <f t="shared" si="1"/>
        <v>7</v>
      </c>
      <c r="N14" s="12" t="str">
        <f t="shared" si="2"/>
        <v>ALTA</v>
      </c>
    </row>
    <row r="15" ht="22.5" customHeight="1">
      <c r="A15" s="4" t="s">
        <v>30</v>
      </c>
      <c r="B15" s="4">
        <v>2025.0</v>
      </c>
      <c r="C15" s="4" t="s">
        <v>33</v>
      </c>
      <c r="D15" s="4" t="s">
        <v>135</v>
      </c>
      <c r="E15" s="4" t="s">
        <v>37</v>
      </c>
      <c r="F15" s="6" t="str">
        <f>IFERROR(VLOOKUP(G15, 'Padronização'!A:C, 3, FALSE), "")</f>
        <v>ABM/MAS aplicado à evacuação</v>
      </c>
      <c r="G15" s="7" t="s">
        <v>45</v>
      </c>
      <c r="H15" s="8" t="s">
        <v>110</v>
      </c>
      <c r="I15" s="9" t="s">
        <v>66</v>
      </c>
      <c r="J15" s="9" t="s">
        <v>53</v>
      </c>
      <c r="K15" s="9" t="s">
        <v>83</v>
      </c>
      <c r="L15" s="9" t="s">
        <v>53</v>
      </c>
      <c r="M15" s="11">
        <f t="shared" si="1"/>
        <v>5</v>
      </c>
      <c r="N15" s="12" t="str">
        <f t="shared" si="2"/>
        <v>MÉDIA</v>
      </c>
    </row>
    <row r="16" ht="22.5" customHeight="1">
      <c r="A16" s="4" t="s">
        <v>30</v>
      </c>
      <c r="B16" s="4">
        <v>2025.0</v>
      </c>
      <c r="C16" s="4" t="s">
        <v>33</v>
      </c>
      <c r="D16" s="4" t="s">
        <v>80</v>
      </c>
      <c r="E16" s="4" t="s">
        <v>37</v>
      </c>
      <c r="F16" s="6" t="str">
        <f>IFERROR(VLOOKUP(G16, 'Padronização'!A:C, 3, FALSE), "")</f>
        <v>ABM/MAS aplicado à evacuação</v>
      </c>
      <c r="G16" s="7" t="s">
        <v>45</v>
      </c>
      <c r="H16" s="8" t="s">
        <v>49</v>
      </c>
      <c r="I16" s="9" t="s">
        <v>51</v>
      </c>
      <c r="J16" s="9" t="s">
        <v>53</v>
      </c>
      <c r="K16" s="9" t="s">
        <v>82</v>
      </c>
      <c r="L16" s="9" t="s">
        <v>53</v>
      </c>
      <c r="M16" s="11">
        <f t="shared" si="1"/>
        <v>9</v>
      </c>
      <c r="N16" s="12" t="str">
        <f t="shared" si="2"/>
        <v>ALTÍSSIMA</v>
      </c>
    </row>
    <row r="17" ht="22.5" customHeight="1">
      <c r="A17" s="4" t="s">
        <v>30</v>
      </c>
      <c r="B17" s="4">
        <v>2025.0</v>
      </c>
      <c r="C17" s="4" t="s">
        <v>33</v>
      </c>
      <c r="D17" s="4" t="s">
        <v>141</v>
      </c>
      <c r="E17" s="4" t="s">
        <v>37</v>
      </c>
      <c r="F17" s="6" t="str">
        <f>IFERROR(VLOOKUP(G17, 'Padronização'!A:C, 3, FALSE), "")</f>
        <v>ABM/MAS aplicado à evacuação</v>
      </c>
      <c r="G17" s="7" t="s">
        <v>45</v>
      </c>
      <c r="H17" s="8" t="s">
        <v>65</v>
      </c>
      <c r="I17" s="9" t="s">
        <v>66</v>
      </c>
      <c r="J17" s="9" t="s">
        <v>100</v>
      </c>
      <c r="K17" s="9" t="s">
        <v>83</v>
      </c>
      <c r="L17" s="9" t="s">
        <v>53</v>
      </c>
      <c r="M17" s="11">
        <f t="shared" si="1"/>
        <v>4</v>
      </c>
      <c r="N17" s="12" t="str">
        <f t="shared" si="2"/>
        <v>MÉDIA</v>
      </c>
    </row>
    <row r="18" ht="22.5" customHeight="1">
      <c r="A18" s="4" t="s">
        <v>30</v>
      </c>
      <c r="B18" s="4">
        <v>2025.0</v>
      </c>
      <c r="C18" s="4" t="s">
        <v>33</v>
      </c>
      <c r="D18" s="25" t="s">
        <v>144</v>
      </c>
      <c r="E18" s="4" t="s">
        <v>37</v>
      </c>
      <c r="F18" s="6" t="str">
        <f>IFERROR(VLOOKUP(G18, 'Padronização'!A:C, 3, FALSE), "")</f>
        <v>ABM/MAS focado em comportamento humano cognitivo</v>
      </c>
      <c r="G18" s="7" t="s">
        <v>47</v>
      </c>
      <c r="H18" s="8" t="s">
        <v>65</v>
      </c>
      <c r="I18" s="9" t="s">
        <v>51</v>
      </c>
      <c r="J18" s="9" t="s">
        <v>61</v>
      </c>
      <c r="K18" s="9" t="s">
        <v>55</v>
      </c>
      <c r="L18" s="9" t="s">
        <v>53</v>
      </c>
      <c r="M18" s="11">
        <f t="shared" si="1"/>
        <v>7</v>
      </c>
      <c r="N18" s="12" t="str">
        <f t="shared" si="2"/>
        <v>ALTA</v>
      </c>
    </row>
    <row r="19" ht="22.5" customHeight="1">
      <c r="A19" s="4" t="s">
        <v>30</v>
      </c>
      <c r="B19" s="4">
        <v>2025.0</v>
      </c>
      <c r="C19" s="4" t="s">
        <v>33</v>
      </c>
      <c r="D19" s="22" t="s">
        <v>148</v>
      </c>
      <c r="E19" s="4" t="s">
        <v>37</v>
      </c>
      <c r="F19" s="6" t="str">
        <f>IFERROR(VLOOKUP(G19, 'Padronização'!A:C, 3, FALSE), "")</f>
        <v>ABM/MAS focado em comportamento humano cognitivo</v>
      </c>
      <c r="G19" s="7" t="s">
        <v>47</v>
      </c>
      <c r="H19" s="8" t="s">
        <v>65</v>
      </c>
      <c r="I19" s="9" t="s">
        <v>66</v>
      </c>
      <c r="J19" s="9" t="s">
        <v>53</v>
      </c>
      <c r="K19" s="9" t="s">
        <v>68</v>
      </c>
      <c r="L19" s="9" t="s">
        <v>53</v>
      </c>
      <c r="M19" s="11">
        <f t="shared" si="1"/>
        <v>7</v>
      </c>
      <c r="N19" s="12" t="str">
        <f t="shared" si="2"/>
        <v>ALTA</v>
      </c>
    </row>
    <row r="20" ht="22.5" customHeight="1">
      <c r="A20" s="4" t="s">
        <v>30</v>
      </c>
      <c r="B20" s="4">
        <v>2025.0</v>
      </c>
      <c r="C20" s="4" t="s">
        <v>33</v>
      </c>
      <c r="D20" s="4" t="s">
        <v>151</v>
      </c>
      <c r="E20" s="4" t="s">
        <v>37</v>
      </c>
      <c r="F20" s="6" t="str">
        <f>IFERROR(VLOOKUP(G20, 'Padronização'!A:C, 3, FALSE), "")</f>
        <v>ABM/MAS aplicado à evacuação</v>
      </c>
      <c r="G20" s="7" t="s">
        <v>45</v>
      </c>
      <c r="H20" s="8" t="s">
        <v>65</v>
      </c>
      <c r="I20" s="9" t="s">
        <v>66</v>
      </c>
      <c r="J20" s="9" t="s">
        <v>53</v>
      </c>
      <c r="K20" s="9" t="s">
        <v>83</v>
      </c>
      <c r="L20" s="9" t="s">
        <v>53</v>
      </c>
      <c r="M20" s="11">
        <f t="shared" si="1"/>
        <v>5</v>
      </c>
      <c r="N20" s="12" t="str">
        <f t="shared" si="2"/>
        <v>MÉDIA</v>
      </c>
    </row>
    <row r="21" ht="22.5" customHeight="1">
      <c r="A21" s="4" t="s">
        <v>30</v>
      </c>
      <c r="B21" s="4">
        <v>2025.0</v>
      </c>
      <c r="C21" s="4" t="s">
        <v>33</v>
      </c>
      <c r="D21" s="4" t="s">
        <v>152</v>
      </c>
      <c r="E21" s="4" t="s">
        <v>37</v>
      </c>
      <c r="F21" s="6" t="str">
        <f>IFERROR(VLOOKUP(G21, 'Padronização'!A:C, 3, FALSE), "")</f>
        <v>ABM/MAS aplicado à evacuação</v>
      </c>
      <c r="G21" s="7" t="s">
        <v>45</v>
      </c>
      <c r="H21" s="8" t="s">
        <v>154</v>
      </c>
      <c r="I21" s="9" t="s">
        <v>51</v>
      </c>
      <c r="J21" s="9" t="s">
        <v>100</v>
      </c>
      <c r="K21" s="9" t="s">
        <v>67</v>
      </c>
      <c r="L21" s="9" t="s">
        <v>53</v>
      </c>
      <c r="M21" s="11">
        <f t="shared" si="1"/>
        <v>8</v>
      </c>
      <c r="N21" s="12" t="str">
        <f t="shared" si="2"/>
        <v>ALTÍSSIMA</v>
      </c>
    </row>
    <row r="22" ht="22.5" customHeight="1">
      <c r="A22" s="4" t="s">
        <v>30</v>
      </c>
      <c r="B22" s="4">
        <v>2025.0</v>
      </c>
      <c r="C22" s="4" t="s">
        <v>33</v>
      </c>
      <c r="D22" s="4" t="s">
        <v>155</v>
      </c>
      <c r="E22" s="4" t="s">
        <v>37</v>
      </c>
      <c r="F22" s="6" t="str">
        <f>IFERROR(VLOOKUP(G22, 'Padronização'!A:C, 3, FALSE), "")</f>
        <v>ABM/MAS aplicado à evacuação</v>
      </c>
      <c r="G22" s="7" t="s">
        <v>45</v>
      </c>
      <c r="H22" s="8" t="s">
        <v>65</v>
      </c>
      <c r="I22" s="9" t="s">
        <v>66</v>
      </c>
      <c r="J22" s="9" t="s">
        <v>53</v>
      </c>
      <c r="K22" s="9" t="s">
        <v>94</v>
      </c>
      <c r="L22" s="9" t="s">
        <v>53</v>
      </c>
      <c r="M22" s="11">
        <f t="shared" si="1"/>
        <v>5</v>
      </c>
      <c r="N22" s="12" t="str">
        <f t="shared" si="2"/>
        <v>MÉDIA</v>
      </c>
    </row>
    <row r="23" ht="22.5" customHeight="1">
      <c r="A23" s="4" t="s">
        <v>30</v>
      </c>
      <c r="B23" s="4">
        <v>2025.0</v>
      </c>
      <c r="C23" s="4" t="s">
        <v>33</v>
      </c>
      <c r="D23" s="4" t="s">
        <v>86</v>
      </c>
      <c r="E23" s="4" t="s">
        <v>37</v>
      </c>
      <c r="F23" s="6" t="str">
        <f>IFERROR(VLOOKUP(G23, 'Padronização'!A:C, 3, FALSE), "")</f>
        <v>Resposta humana a alertas e decisões</v>
      </c>
      <c r="G23" s="7" t="s">
        <v>50</v>
      </c>
      <c r="H23" s="8" t="s">
        <v>49</v>
      </c>
      <c r="I23" s="9" t="s">
        <v>51</v>
      </c>
      <c r="J23" s="9" t="s">
        <v>53</v>
      </c>
      <c r="K23" s="9" t="s">
        <v>55</v>
      </c>
      <c r="L23" s="9" t="s">
        <v>53</v>
      </c>
      <c r="M23" s="11">
        <f t="shared" si="1"/>
        <v>9</v>
      </c>
      <c r="N23" s="12" t="str">
        <f t="shared" si="2"/>
        <v>ALTÍSSIMA</v>
      </c>
    </row>
    <row r="24" ht="22.5" customHeight="1">
      <c r="A24" s="4" t="s">
        <v>30</v>
      </c>
      <c r="B24" s="4">
        <v>2025.0</v>
      </c>
      <c r="C24" s="4" t="s">
        <v>33</v>
      </c>
      <c r="D24" s="4" t="s">
        <v>160</v>
      </c>
      <c r="E24" s="4" t="s">
        <v>37</v>
      </c>
      <c r="F24" s="6" t="str">
        <f>IFERROR(VLOOKUP(G24, 'Padronização'!A:C, 3, FALSE), "")</f>
        <v>ABM/MAS aplicado à evacuação</v>
      </c>
      <c r="G24" s="7" t="s">
        <v>45</v>
      </c>
      <c r="H24" s="8" t="s">
        <v>65</v>
      </c>
      <c r="I24" s="9" t="s">
        <v>66</v>
      </c>
      <c r="J24" s="9" t="s">
        <v>100</v>
      </c>
      <c r="K24" s="9" t="s">
        <v>94</v>
      </c>
      <c r="L24" s="9" t="s">
        <v>53</v>
      </c>
      <c r="M24" s="11">
        <f t="shared" si="1"/>
        <v>4</v>
      </c>
      <c r="N24" s="12" t="str">
        <f t="shared" si="2"/>
        <v>MÉDIA</v>
      </c>
    </row>
    <row r="25" ht="22.5" customHeight="1">
      <c r="A25" s="4" t="s">
        <v>30</v>
      </c>
      <c r="B25" s="4">
        <v>2025.0</v>
      </c>
      <c r="C25" s="4" t="s">
        <v>87</v>
      </c>
      <c r="D25" s="4" t="s">
        <v>163</v>
      </c>
      <c r="E25" s="4" t="s">
        <v>37</v>
      </c>
      <c r="F25" s="6" t="str">
        <f>IFERROR(VLOOKUP(G25, 'Padronização'!A:C, 3, FALSE), "")</f>
        <v>ABM/MAS aplicado à evacuação</v>
      </c>
      <c r="G25" s="7" t="s">
        <v>45</v>
      </c>
      <c r="H25" s="8" t="s">
        <v>65</v>
      </c>
      <c r="I25" s="9" t="s">
        <v>51</v>
      </c>
      <c r="J25" s="9" t="s">
        <v>100</v>
      </c>
      <c r="K25" s="9" t="s">
        <v>83</v>
      </c>
      <c r="L25" s="9" t="s">
        <v>53</v>
      </c>
      <c r="M25" s="11">
        <f t="shared" si="1"/>
        <v>6</v>
      </c>
      <c r="N25" s="12" t="str">
        <f t="shared" si="2"/>
        <v>ALTA</v>
      </c>
    </row>
    <row r="26" ht="22.5" customHeight="1">
      <c r="A26" s="4" t="s">
        <v>30</v>
      </c>
      <c r="B26" s="4">
        <v>2025.0</v>
      </c>
      <c r="C26" s="4" t="s">
        <v>33</v>
      </c>
      <c r="D26" s="4" t="s">
        <v>168</v>
      </c>
      <c r="E26" s="4" t="s">
        <v>37</v>
      </c>
      <c r="F26" s="6" t="str">
        <f>IFERROR(VLOOKUP(G26, 'Padronização'!A:C, 3, FALSE), "")</f>
        <v>ABM/MAS aplicado à evacuação</v>
      </c>
      <c r="G26" s="7" t="s">
        <v>45</v>
      </c>
      <c r="H26" s="8" t="s">
        <v>115</v>
      </c>
      <c r="I26" s="21"/>
      <c r="J26" s="21"/>
      <c r="K26" s="21"/>
      <c r="L26" s="9" t="s">
        <v>61</v>
      </c>
      <c r="M26" s="11">
        <f t="shared" si="1"/>
        <v>-10</v>
      </c>
      <c r="N26" s="12" t="str">
        <f t="shared" si="2"/>
        <v>EXCLUIR</v>
      </c>
    </row>
    <row r="27" ht="22.5" customHeight="1">
      <c r="A27" s="4" t="s">
        <v>30</v>
      </c>
      <c r="B27" s="4">
        <v>2025.0</v>
      </c>
      <c r="C27" s="4" t="s">
        <v>33</v>
      </c>
      <c r="D27" s="4" t="s">
        <v>92</v>
      </c>
      <c r="E27" s="4" t="s">
        <v>37</v>
      </c>
      <c r="F27" s="6" t="str">
        <f>IFERROR(VLOOKUP(G27, 'Padronização'!A:C, 3, FALSE), "")</f>
        <v>ABM/MAS focado em comportamento humano cognitivo</v>
      </c>
      <c r="G27" s="7" t="s">
        <v>47</v>
      </c>
      <c r="H27" s="8" t="s">
        <v>49</v>
      </c>
      <c r="I27" s="9" t="s">
        <v>51</v>
      </c>
      <c r="J27" s="9" t="s">
        <v>53</v>
      </c>
      <c r="K27" s="9" t="s">
        <v>94</v>
      </c>
      <c r="L27" s="9" t="s">
        <v>53</v>
      </c>
      <c r="M27" s="11">
        <f t="shared" si="1"/>
        <v>7</v>
      </c>
      <c r="N27" s="12" t="str">
        <f t="shared" si="2"/>
        <v>ALTA</v>
      </c>
    </row>
    <row r="28" ht="22.5" customHeight="1">
      <c r="A28" s="4" t="s">
        <v>30</v>
      </c>
      <c r="B28" s="4">
        <v>2025.0</v>
      </c>
      <c r="C28" s="4" t="s">
        <v>33</v>
      </c>
      <c r="D28" s="4" t="s">
        <v>171</v>
      </c>
      <c r="E28" s="4" t="s">
        <v>37</v>
      </c>
      <c r="F28" s="6" t="str">
        <f>IFERROR(VLOOKUP(G28, 'Padronização'!A:C, 3, FALSE), "")</f>
        <v>ABM/MAS aplicado à evacuação</v>
      </c>
      <c r="G28" s="7" t="s">
        <v>45</v>
      </c>
      <c r="H28" s="8" t="s">
        <v>110</v>
      </c>
      <c r="I28" s="9" t="s">
        <v>66</v>
      </c>
      <c r="J28" s="9" t="s">
        <v>100</v>
      </c>
      <c r="K28" s="9" t="s">
        <v>94</v>
      </c>
      <c r="L28" s="9" t="s">
        <v>53</v>
      </c>
      <c r="M28" s="11">
        <f t="shared" si="1"/>
        <v>4</v>
      </c>
      <c r="N28" s="12" t="str">
        <f t="shared" si="2"/>
        <v>MÉDIA</v>
      </c>
    </row>
    <row r="29" ht="22.5" customHeight="1">
      <c r="A29" s="4" t="s">
        <v>30</v>
      </c>
      <c r="B29" s="4">
        <v>2025.0</v>
      </c>
      <c r="C29" s="4" t="s">
        <v>33</v>
      </c>
      <c r="D29" s="4" t="s">
        <v>174</v>
      </c>
      <c r="E29" s="4" t="s">
        <v>37</v>
      </c>
      <c r="F29" s="6" t="str">
        <f>IFERROR(VLOOKUP(G29, 'Padronização'!A:C, 3, FALSE), "")</f>
        <v>ABM/MAS aplicado à evacuação</v>
      </c>
      <c r="G29" s="7" t="s">
        <v>45</v>
      </c>
      <c r="H29" s="8" t="s">
        <v>110</v>
      </c>
      <c r="I29" s="9" t="s">
        <v>51</v>
      </c>
      <c r="J29" s="9" t="s">
        <v>53</v>
      </c>
      <c r="K29" s="9" t="s">
        <v>94</v>
      </c>
      <c r="L29" s="9" t="s">
        <v>53</v>
      </c>
      <c r="M29" s="11">
        <f t="shared" si="1"/>
        <v>7</v>
      </c>
      <c r="N29" s="12" t="str">
        <f t="shared" si="2"/>
        <v>ALTA</v>
      </c>
    </row>
    <row r="30" ht="22.5" customHeight="1">
      <c r="A30" s="4" t="s">
        <v>30</v>
      </c>
      <c r="B30" s="4">
        <v>2025.0</v>
      </c>
      <c r="C30" s="4" t="s">
        <v>33</v>
      </c>
      <c r="D30" s="4" t="s">
        <v>179</v>
      </c>
      <c r="E30" s="4" t="s">
        <v>37</v>
      </c>
      <c r="F30" s="6" t="str">
        <f>IFERROR(VLOOKUP(G30, 'Padronização'!A:C, 3, FALSE), "")</f>
        <v>ABM/MAS aplicado à evacuação</v>
      </c>
      <c r="G30" s="7" t="s">
        <v>45</v>
      </c>
      <c r="H30" s="8" t="s">
        <v>180</v>
      </c>
      <c r="I30" s="9" t="s">
        <v>66</v>
      </c>
      <c r="J30" s="9" t="s">
        <v>53</v>
      </c>
      <c r="K30" s="9" t="s">
        <v>68</v>
      </c>
      <c r="L30" s="9" t="s">
        <v>53</v>
      </c>
      <c r="M30" s="11">
        <f t="shared" si="1"/>
        <v>7</v>
      </c>
      <c r="N30" s="12" t="str">
        <f t="shared" si="2"/>
        <v>ALTA</v>
      </c>
    </row>
    <row r="31" ht="22.5" customHeight="1">
      <c r="A31" s="4" t="s">
        <v>30</v>
      </c>
      <c r="B31" s="4">
        <v>2025.0</v>
      </c>
      <c r="C31" s="4" t="s">
        <v>33</v>
      </c>
      <c r="D31" s="4" t="s">
        <v>97</v>
      </c>
      <c r="E31" s="4" t="s">
        <v>37</v>
      </c>
      <c r="F31" s="6" t="str">
        <f>IFERROR(VLOOKUP(G31, 'Padronização'!A:C, 3, FALSE), "")</f>
        <v>ABM/MAS aplicado à evacuação</v>
      </c>
      <c r="G31" s="7" t="s">
        <v>45</v>
      </c>
      <c r="H31" s="8" t="s">
        <v>49</v>
      </c>
      <c r="I31" s="9" t="s">
        <v>51</v>
      </c>
      <c r="J31" s="9" t="s">
        <v>53</v>
      </c>
      <c r="K31" s="9" t="s">
        <v>68</v>
      </c>
      <c r="L31" s="9" t="s">
        <v>53</v>
      </c>
      <c r="M31" s="11">
        <f t="shared" si="1"/>
        <v>9</v>
      </c>
      <c r="N31" s="12" t="str">
        <f t="shared" si="2"/>
        <v>ALTÍSSIMA</v>
      </c>
    </row>
    <row r="32" ht="22.5" customHeight="1">
      <c r="A32" s="4" t="s">
        <v>30</v>
      </c>
      <c r="B32" s="4">
        <v>2025.0</v>
      </c>
      <c r="C32" s="4" t="s">
        <v>33</v>
      </c>
      <c r="D32" s="4" t="s">
        <v>185</v>
      </c>
      <c r="E32" s="4" t="s">
        <v>37</v>
      </c>
      <c r="F32" s="6" t="str">
        <f>IFERROR(VLOOKUP(G32, 'Padronização'!A:C, 3, FALSE), "")</f>
        <v>ABM/MAS focado em comportamento humano cognitivo</v>
      </c>
      <c r="G32" s="7" t="s">
        <v>47</v>
      </c>
      <c r="H32" s="8" t="s">
        <v>65</v>
      </c>
      <c r="I32" s="9" t="s">
        <v>51</v>
      </c>
      <c r="J32" s="9" t="s">
        <v>53</v>
      </c>
      <c r="K32" s="9" t="s">
        <v>94</v>
      </c>
      <c r="L32" s="9" t="s">
        <v>53</v>
      </c>
      <c r="M32" s="11">
        <f t="shared" si="1"/>
        <v>7</v>
      </c>
      <c r="N32" s="12" t="str">
        <f t="shared" si="2"/>
        <v>ALTA</v>
      </c>
    </row>
    <row r="33" ht="22.5" customHeight="1">
      <c r="A33" s="4" t="s">
        <v>30</v>
      </c>
      <c r="B33" s="4">
        <v>2025.0</v>
      </c>
      <c r="C33" s="4" t="s">
        <v>33</v>
      </c>
      <c r="D33" s="4" t="s">
        <v>190</v>
      </c>
      <c r="E33" s="4" t="s">
        <v>37</v>
      </c>
      <c r="F33" s="6" t="str">
        <f>IFERROR(VLOOKUP(G33, 'Padronização'!A:C, 3, FALSE), "")</f>
        <v>ABM/MAS focado em comportamento humano cognitivo</v>
      </c>
      <c r="G33" s="7" t="s">
        <v>47</v>
      </c>
      <c r="H33" s="8" t="s">
        <v>115</v>
      </c>
      <c r="I33" s="21"/>
      <c r="J33" s="21"/>
      <c r="K33" s="21"/>
      <c r="L33" s="9" t="s">
        <v>61</v>
      </c>
      <c r="M33" s="11">
        <f t="shared" si="1"/>
        <v>-10</v>
      </c>
      <c r="N33" s="12" t="str">
        <f t="shared" si="2"/>
        <v>EXCLUIR</v>
      </c>
    </row>
    <row r="34" ht="22.5" customHeight="1">
      <c r="A34" s="4" t="s">
        <v>30</v>
      </c>
      <c r="B34" s="4">
        <v>2025.0</v>
      </c>
      <c r="C34" s="4" t="s">
        <v>33</v>
      </c>
      <c r="D34" s="4" t="s">
        <v>193</v>
      </c>
      <c r="E34" s="4" t="s">
        <v>37</v>
      </c>
      <c r="F34" s="6" t="str">
        <f>IFERROR(VLOOKUP(G34, 'Padronização'!A:C, 3, FALSE), "")</f>
        <v>ABM/MAS aplicado à evacuação</v>
      </c>
      <c r="G34" s="7" t="s">
        <v>45</v>
      </c>
      <c r="H34" s="8" t="s">
        <v>110</v>
      </c>
      <c r="I34" s="9" t="s">
        <v>51</v>
      </c>
      <c r="J34" s="9" t="s">
        <v>100</v>
      </c>
      <c r="K34" s="9" t="s">
        <v>94</v>
      </c>
      <c r="L34" s="9" t="s">
        <v>53</v>
      </c>
      <c r="M34" s="11">
        <f t="shared" si="1"/>
        <v>6</v>
      </c>
      <c r="N34" s="12" t="str">
        <f t="shared" si="2"/>
        <v>ALTA</v>
      </c>
    </row>
    <row r="35" ht="22.5" customHeight="1">
      <c r="A35" s="4" t="s">
        <v>30</v>
      </c>
      <c r="B35" s="4">
        <v>2025.0</v>
      </c>
      <c r="C35" s="4" t="s">
        <v>33</v>
      </c>
      <c r="D35" s="4" t="s">
        <v>196</v>
      </c>
      <c r="E35" s="4" t="s">
        <v>37</v>
      </c>
      <c r="F35" s="6" t="str">
        <f>IFERROR(VLOOKUP(G35, 'Padronização'!A:C, 3, FALSE), "")</f>
        <v>ABM/MAS aplicado à evacuação</v>
      </c>
      <c r="G35" s="7" t="s">
        <v>45</v>
      </c>
      <c r="H35" s="8" t="s">
        <v>115</v>
      </c>
      <c r="I35" s="21"/>
      <c r="J35" s="21"/>
      <c r="K35" s="21"/>
      <c r="L35" s="9" t="s">
        <v>61</v>
      </c>
      <c r="M35" s="11">
        <f t="shared" si="1"/>
        <v>-10</v>
      </c>
      <c r="N35" s="12" t="str">
        <f t="shared" si="2"/>
        <v>EXCLUIR</v>
      </c>
    </row>
    <row r="36" ht="22.5" customHeight="1">
      <c r="A36" s="4" t="s">
        <v>30</v>
      </c>
      <c r="B36" s="4">
        <v>2025.0</v>
      </c>
      <c r="C36" s="4" t="s">
        <v>87</v>
      </c>
      <c r="D36" s="4" t="s">
        <v>198</v>
      </c>
      <c r="E36" s="4" t="s">
        <v>37</v>
      </c>
      <c r="F36" s="6" t="str">
        <f>IFERROR(VLOOKUP(G36, 'Padronização'!A:C, 3, FALSE), "")</f>
        <v>ABM/MAS aplicado à evacuação</v>
      </c>
      <c r="G36" s="7" t="s">
        <v>45</v>
      </c>
      <c r="H36" s="8" t="s">
        <v>115</v>
      </c>
      <c r="I36" s="21"/>
      <c r="J36" s="21"/>
      <c r="K36" s="21"/>
      <c r="L36" s="9" t="s">
        <v>61</v>
      </c>
      <c r="M36" s="11">
        <f t="shared" si="1"/>
        <v>-10</v>
      </c>
      <c r="N36" s="12" t="str">
        <f t="shared" si="2"/>
        <v>EXCLUIR</v>
      </c>
    </row>
    <row r="37" ht="22.5" customHeight="1">
      <c r="A37" s="4" t="s">
        <v>30</v>
      </c>
      <c r="B37" s="4">
        <v>2025.0</v>
      </c>
      <c r="C37" s="4" t="s">
        <v>33</v>
      </c>
      <c r="D37" s="4" t="s">
        <v>200</v>
      </c>
      <c r="E37" s="4" t="s">
        <v>37</v>
      </c>
      <c r="F37" s="6" t="str">
        <f>IFERROR(VLOOKUP(G37, 'Padronização'!A:C, 3, FALSE), "")</f>
        <v>ABM/MAS aplicado à evacuação</v>
      </c>
      <c r="G37" s="7" t="s">
        <v>45</v>
      </c>
      <c r="H37" s="8" t="s">
        <v>65</v>
      </c>
      <c r="I37" s="9" t="s">
        <v>66</v>
      </c>
      <c r="J37" s="9" t="s">
        <v>53</v>
      </c>
      <c r="K37" s="9" t="s">
        <v>68</v>
      </c>
      <c r="L37" s="9" t="s">
        <v>53</v>
      </c>
      <c r="M37" s="11">
        <f t="shared" si="1"/>
        <v>7</v>
      </c>
      <c r="N37" s="12" t="str">
        <f t="shared" si="2"/>
        <v>ALTA</v>
      </c>
    </row>
    <row r="38" ht="22.5" customHeight="1">
      <c r="A38" s="4" t="s">
        <v>30</v>
      </c>
      <c r="B38" s="4">
        <v>2025.0</v>
      </c>
      <c r="C38" s="4" t="s">
        <v>33</v>
      </c>
      <c r="D38" s="4" t="s">
        <v>203</v>
      </c>
      <c r="E38" s="4" t="s">
        <v>37</v>
      </c>
      <c r="F38" s="6" t="str">
        <f>IFERROR(VLOOKUP(G38, 'Padronização'!A:C, 3, FALSE), "")</f>
        <v>ABM/MAS aplicado à evacuação</v>
      </c>
      <c r="G38" s="7" t="s">
        <v>45</v>
      </c>
      <c r="H38" s="8" t="s">
        <v>204</v>
      </c>
      <c r="I38" s="9" t="s">
        <v>66</v>
      </c>
      <c r="J38" s="9" t="s">
        <v>53</v>
      </c>
      <c r="K38" s="9" t="s">
        <v>68</v>
      </c>
      <c r="L38" s="9" t="s">
        <v>53</v>
      </c>
      <c r="M38" s="11">
        <f t="shared" si="1"/>
        <v>7</v>
      </c>
      <c r="N38" s="12" t="str">
        <f t="shared" si="2"/>
        <v>ALTA</v>
      </c>
    </row>
    <row r="39" ht="22.5" customHeight="1">
      <c r="A39" s="4" t="s">
        <v>30</v>
      </c>
      <c r="B39" s="4">
        <v>2025.0</v>
      </c>
      <c r="C39" s="4" t="s">
        <v>33</v>
      </c>
      <c r="D39" s="4" t="s">
        <v>102</v>
      </c>
      <c r="E39" s="4" t="s">
        <v>37</v>
      </c>
      <c r="F39" s="6" t="str">
        <f>IFERROR(VLOOKUP(G39, 'Padronização'!A:C, 3, FALSE), "")</f>
        <v>ABM/MAS aplicado à evacuação</v>
      </c>
      <c r="G39" s="7" t="s">
        <v>45</v>
      </c>
      <c r="H39" s="8" t="s">
        <v>49</v>
      </c>
      <c r="I39" s="9" t="s">
        <v>51</v>
      </c>
      <c r="J39" s="9" t="s">
        <v>53</v>
      </c>
      <c r="K39" s="9" t="s">
        <v>94</v>
      </c>
      <c r="L39" s="9" t="s">
        <v>53</v>
      </c>
      <c r="M39" s="11">
        <f t="shared" si="1"/>
        <v>7</v>
      </c>
      <c r="N39" s="12" t="str">
        <f t="shared" si="2"/>
        <v>ALTA</v>
      </c>
    </row>
    <row r="40" ht="22.5" customHeight="1">
      <c r="A40" s="4" t="s">
        <v>30</v>
      </c>
      <c r="B40" s="4">
        <v>2025.0</v>
      </c>
      <c r="C40" s="4" t="s">
        <v>33</v>
      </c>
      <c r="D40" s="4" t="s">
        <v>232</v>
      </c>
      <c r="E40" s="4" t="s">
        <v>37</v>
      </c>
      <c r="F40" s="6" t="str">
        <f>IFERROR(VLOOKUP(G40, 'Padronização'!A:C, 3, FALSE), "")</f>
        <v>ABM/MAS aplicado à evacuação</v>
      </c>
      <c r="G40" s="7" t="s">
        <v>45</v>
      </c>
      <c r="H40" s="8" t="s">
        <v>65</v>
      </c>
      <c r="I40" s="9" t="s">
        <v>66</v>
      </c>
      <c r="J40" s="9" t="s">
        <v>100</v>
      </c>
      <c r="K40" s="9" t="s">
        <v>94</v>
      </c>
      <c r="L40" s="9" t="s">
        <v>53</v>
      </c>
      <c r="M40" s="11">
        <f t="shared" si="1"/>
        <v>4</v>
      </c>
      <c r="N40" s="12" t="str">
        <f t="shared" si="2"/>
        <v>MÉDIA</v>
      </c>
    </row>
    <row r="41" ht="22.5" customHeight="1">
      <c r="A41" s="4" t="s">
        <v>30</v>
      </c>
      <c r="B41" s="4">
        <v>2025.0</v>
      </c>
      <c r="C41" s="4" t="s">
        <v>33</v>
      </c>
      <c r="D41" s="4" t="s">
        <v>106</v>
      </c>
      <c r="E41" s="4" t="s">
        <v>37</v>
      </c>
      <c r="F41" s="6" t="str">
        <f>IFERROR(VLOOKUP(G41, 'Padronização'!A:C, 3, FALSE), "")</f>
        <v>ABM/MAS aplicado à evacuação</v>
      </c>
      <c r="G41" s="7" t="s">
        <v>45</v>
      </c>
      <c r="H41" s="8" t="s">
        <v>49</v>
      </c>
      <c r="I41" s="9" t="s">
        <v>51</v>
      </c>
      <c r="J41" s="9" t="s">
        <v>53</v>
      </c>
      <c r="K41" s="9" t="s">
        <v>68</v>
      </c>
      <c r="L41" s="9" t="s">
        <v>53</v>
      </c>
      <c r="M41" s="11">
        <f t="shared" si="1"/>
        <v>9</v>
      </c>
      <c r="N41" s="12" t="str">
        <f t="shared" si="2"/>
        <v>ALTÍSSIMA</v>
      </c>
    </row>
    <row r="42" ht="22.5" customHeight="1">
      <c r="A42" s="4" t="s">
        <v>30</v>
      </c>
      <c r="B42" s="4">
        <v>2025.0</v>
      </c>
      <c r="C42" s="4" t="s">
        <v>33</v>
      </c>
      <c r="D42" s="4" t="s">
        <v>223</v>
      </c>
      <c r="E42" s="4" t="s">
        <v>37</v>
      </c>
      <c r="F42" s="6" t="str">
        <f>IFERROR(VLOOKUP(G42, 'Padronização'!A:C, 3, FALSE), "")</f>
        <v>ABM/MAS aplicado à evacuação</v>
      </c>
      <c r="G42" s="7" t="s">
        <v>45</v>
      </c>
      <c r="H42" s="8" t="s">
        <v>65</v>
      </c>
      <c r="I42" s="9" t="s">
        <v>51</v>
      </c>
      <c r="J42" s="9" t="s">
        <v>53</v>
      </c>
      <c r="K42" s="9" t="s">
        <v>94</v>
      </c>
      <c r="L42" s="9" t="s">
        <v>53</v>
      </c>
      <c r="M42" s="11">
        <f t="shared" si="1"/>
        <v>7</v>
      </c>
      <c r="N42" s="12" t="str">
        <f t="shared" si="2"/>
        <v>ALTA</v>
      </c>
    </row>
    <row r="43" ht="22.5" customHeight="1">
      <c r="A43" s="4" t="s">
        <v>30</v>
      </c>
      <c r="B43" s="4">
        <v>2025.0</v>
      </c>
      <c r="C43" s="4" t="s">
        <v>33</v>
      </c>
      <c r="D43" s="4" t="s">
        <v>240</v>
      </c>
      <c r="E43" s="4" t="s">
        <v>37</v>
      </c>
      <c r="F43" s="6" t="str">
        <f>IFERROR(VLOOKUP(G43, 'Padronização'!A:C, 3, FALSE), "")</f>
        <v>ABM/MAS focado em comportamento humano cognitivo</v>
      </c>
      <c r="G43" s="7" t="s">
        <v>47</v>
      </c>
      <c r="H43" s="8" t="s">
        <v>65</v>
      </c>
      <c r="I43" s="9" t="s">
        <v>51</v>
      </c>
      <c r="J43" s="9" t="s">
        <v>53</v>
      </c>
      <c r="K43" s="9" t="s">
        <v>68</v>
      </c>
      <c r="L43" s="9" t="s">
        <v>53</v>
      </c>
      <c r="M43" s="11">
        <f t="shared" si="1"/>
        <v>9</v>
      </c>
      <c r="N43" s="12" t="str">
        <f t="shared" si="2"/>
        <v>ALTÍSSIMA</v>
      </c>
    </row>
    <row r="44" ht="22.5" customHeight="1">
      <c r="A44" s="4" t="s">
        <v>30</v>
      </c>
      <c r="B44" s="4">
        <v>2025.0</v>
      </c>
      <c r="C44" s="4" t="s">
        <v>33</v>
      </c>
      <c r="D44" s="4" t="s">
        <v>227</v>
      </c>
      <c r="E44" s="4" t="s">
        <v>37</v>
      </c>
      <c r="F44" s="6" t="str">
        <f>IFERROR(VLOOKUP(G44, 'Padronização'!A:C, 3, FALSE), "")</f>
        <v>ABM/MAS focado em comportamento humano cognitivo</v>
      </c>
      <c r="G44" s="7" t="s">
        <v>47</v>
      </c>
      <c r="H44" s="8" t="s">
        <v>65</v>
      </c>
      <c r="I44" s="9" t="s">
        <v>66</v>
      </c>
      <c r="J44" s="9" t="s">
        <v>100</v>
      </c>
      <c r="K44" s="9" t="s">
        <v>94</v>
      </c>
      <c r="L44" s="9" t="s">
        <v>53</v>
      </c>
      <c r="M44" s="11">
        <f t="shared" si="1"/>
        <v>4</v>
      </c>
      <c r="N44" s="12" t="str">
        <f t="shared" si="2"/>
        <v>MÉDIA</v>
      </c>
    </row>
    <row r="45" ht="22.5" customHeight="1">
      <c r="A45" s="4" t="s">
        <v>30</v>
      </c>
      <c r="B45" s="4">
        <v>2025.0</v>
      </c>
      <c r="C45" s="4" t="s">
        <v>33</v>
      </c>
      <c r="D45" s="4" t="s">
        <v>246</v>
      </c>
      <c r="E45" s="4" t="s">
        <v>37</v>
      </c>
      <c r="F45" s="6" t="str">
        <f>IFERROR(VLOOKUP(G45, 'Padronização'!A:C, 3, FALSE), "")</f>
        <v>ABM/MAS aplicado à evacuação</v>
      </c>
      <c r="G45" s="7" t="s">
        <v>45</v>
      </c>
      <c r="H45" s="8" t="s">
        <v>49</v>
      </c>
      <c r="I45" s="9" t="s">
        <v>66</v>
      </c>
      <c r="J45" s="9" t="s">
        <v>100</v>
      </c>
      <c r="K45" s="9" t="s">
        <v>94</v>
      </c>
      <c r="L45" s="9" t="s">
        <v>53</v>
      </c>
      <c r="M45" s="11">
        <f t="shared" si="1"/>
        <v>4</v>
      </c>
      <c r="N45" s="12" t="str">
        <f t="shared" si="2"/>
        <v>MÉDIA</v>
      </c>
    </row>
    <row r="46" ht="22.5" customHeight="1">
      <c r="A46" s="4" t="s">
        <v>30</v>
      </c>
      <c r="B46" s="4">
        <v>2025.0</v>
      </c>
      <c r="C46" s="4" t="s">
        <v>33</v>
      </c>
      <c r="D46" s="4" t="s">
        <v>250</v>
      </c>
      <c r="E46" s="4" t="s">
        <v>37</v>
      </c>
      <c r="F46" s="6" t="str">
        <f>IFERROR(VLOOKUP(G46, 'Padronização'!A:C, 3, FALSE), "")</f>
        <v>ABM/MAS aplicado à evacuação</v>
      </c>
      <c r="G46" s="7" t="s">
        <v>45</v>
      </c>
      <c r="H46" s="8" t="s">
        <v>65</v>
      </c>
      <c r="I46" s="9" t="s">
        <v>66</v>
      </c>
      <c r="J46" s="9" t="s">
        <v>100</v>
      </c>
      <c r="K46" s="9" t="s">
        <v>67</v>
      </c>
      <c r="L46" s="9" t="s">
        <v>53</v>
      </c>
      <c r="M46" s="11">
        <f t="shared" si="1"/>
        <v>6</v>
      </c>
      <c r="N46" s="12" t="str">
        <f t="shared" si="2"/>
        <v>ALTA</v>
      </c>
    </row>
    <row r="47" ht="22.5" customHeight="1">
      <c r="A47" s="4" t="s">
        <v>30</v>
      </c>
      <c r="B47" s="4">
        <v>2025.0</v>
      </c>
      <c r="C47" s="4" t="s">
        <v>33</v>
      </c>
      <c r="D47" s="4" t="s">
        <v>253</v>
      </c>
      <c r="E47" s="4" t="s">
        <v>37</v>
      </c>
      <c r="F47" s="6" t="str">
        <f>IFERROR(VLOOKUP(G47, 'Padronização'!A:C, 3, FALSE), "")</f>
        <v>ABM/MAS focado em comportamento humano cognitivo</v>
      </c>
      <c r="G47" s="7" t="s">
        <v>47</v>
      </c>
      <c r="H47" s="8" t="s">
        <v>65</v>
      </c>
      <c r="I47" s="9" t="s">
        <v>51</v>
      </c>
      <c r="J47" s="9" t="s">
        <v>53</v>
      </c>
      <c r="K47" s="9" t="s">
        <v>94</v>
      </c>
      <c r="L47" s="9" t="s">
        <v>53</v>
      </c>
      <c r="M47" s="11">
        <f t="shared" si="1"/>
        <v>7</v>
      </c>
      <c r="N47" s="12" t="str">
        <f t="shared" si="2"/>
        <v>ALTA</v>
      </c>
    </row>
    <row r="48" ht="22.5" customHeight="1">
      <c r="A48" s="4" t="s">
        <v>30</v>
      </c>
      <c r="B48" s="4">
        <v>2025.0</v>
      </c>
      <c r="C48" s="4" t="s">
        <v>33</v>
      </c>
      <c r="D48" s="4" t="s">
        <v>241</v>
      </c>
      <c r="E48" s="4" t="s">
        <v>37</v>
      </c>
      <c r="F48" s="6" t="str">
        <f>IFERROR(VLOOKUP(G48, 'Padronização'!A:C, 3, FALSE), "")</f>
        <v>ABM/MAS aplicado à evacuação</v>
      </c>
      <c r="G48" s="7" t="s">
        <v>45</v>
      </c>
      <c r="H48" s="8" t="s">
        <v>115</v>
      </c>
      <c r="I48" s="21"/>
      <c r="J48" s="21"/>
      <c r="K48" s="21"/>
      <c r="L48" s="9" t="s">
        <v>61</v>
      </c>
      <c r="M48" s="11">
        <f t="shared" si="1"/>
        <v>-10</v>
      </c>
      <c r="N48" s="12" t="str">
        <f t="shared" si="2"/>
        <v>EXCLUIR</v>
      </c>
    </row>
    <row r="49" ht="22.5" customHeight="1">
      <c r="A49" s="4" t="s">
        <v>30</v>
      </c>
      <c r="B49" s="4">
        <v>2025.0</v>
      </c>
      <c r="C49" s="4" t="s">
        <v>87</v>
      </c>
      <c r="D49" s="4" t="s">
        <v>259</v>
      </c>
      <c r="E49" s="4" t="s">
        <v>37</v>
      </c>
      <c r="F49" s="6" t="str">
        <f>IFERROR(VLOOKUP(G49, 'Padronização'!A:C, 3, FALSE), "")</f>
        <v>ABM/MAS aplicado à evacuação</v>
      </c>
      <c r="G49" s="7" t="s">
        <v>45</v>
      </c>
      <c r="H49" s="8" t="s">
        <v>154</v>
      </c>
      <c r="I49" s="9" t="s">
        <v>51</v>
      </c>
      <c r="J49" s="9" t="s">
        <v>53</v>
      </c>
      <c r="K49" s="9" t="s">
        <v>83</v>
      </c>
      <c r="L49" s="9" t="s">
        <v>53</v>
      </c>
      <c r="M49" s="11">
        <f t="shared" si="1"/>
        <v>7</v>
      </c>
      <c r="N49" s="12" t="str">
        <f t="shared" si="2"/>
        <v>ALTA</v>
      </c>
    </row>
    <row r="50" ht="22.5" customHeight="1">
      <c r="A50" s="4" t="s">
        <v>30</v>
      </c>
      <c r="B50" s="4">
        <v>2025.0</v>
      </c>
      <c r="C50" s="4" t="s">
        <v>87</v>
      </c>
      <c r="D50" s="4" t="s">
        <v>263</v>
      </c>
      <c r="E50" s="4" t="s">
        <v>37</v>
      </c>
      <c r="F50" s="6" t="str">
        <f>IFERROR(VLOOKUP(G50, 'Padronização'!A:C, 3, FALSE), "")</f>
        <v>ABM/MAS aplicado à evacuação</v>
      </c>
      <c r="G50" s="7" t="s">
        <v>45</v>
      </c>
      <c r="H50" s="8" t="s">
        <v>115</v>
      </c>
      <c r="I50" s="21"/>
      <c r="J50" s="21"/>
      <c r="K50" s="21"/>
      <c r="L50" s="9" t="s">
        <v>61</v>
      </c>
      <c r="M50" s="11">
        <f t="shared" si="1"/>
        <v>-10</v>
      </c>
      <c r="N50" s="12" t="str">
        <f t="shared" si="2"/>
        <v>EXCLUIR</v>
      </c>
    </row>
    <row r="51" ht="22.5" customHeight="1">
      <c r="A51" s="4" t="s">
        <v>30</v>
      </c>
      <c r="B51" s="4">
        <v>2025.0</v>
      </c>
      <c r="C51" s="4" t="s">
        <v>33</v>
      </c>
      <c r="D51" s="4" t="s">
        <v>245</v>
      </c>
      <c r="E51" s="4" t="s">
        <v>37</v>
      </c>
      <c r="F51" s="6" t="str">
        <f>IFERROR(VLOOKUP(G51, 'Padronização'!A:C, 3, FALSE), "")</f>
        <v>ABM/MAS aplicado à evacuação</v>
      </c>
      <c r="G51" s="7" t="s">
        <v>45</v>
      </c>
      <c r="H51" s="8" t="s">
        <v>110</v>
      </c>
      <c r="I51" s="9" t="s">
        <v>66</v>
      </c>
      <c r="J51" s="9" t="s">
        <v>100</v>
      </c>
      <c r="K51" s="9" t="s">
        <v>82</v>
      </c>
      <c r="L51" s="9" t="s">
        <v>53</v>
      </c>
      <c r="M51" s="11">
        <f t="shared" si="1"/>
        <v>6</v>
      </c>
      <c r="N51" s="12" t="str">
        <f t="shared" si="2"/>
        <v>ALTA</v>
      </c>
    </row>
    <row r="52" ht="22.5" customHeight="1">
      <c r="A52" s="4" t="s">
        <v>30</v>
      </c>
      <c r="B52" s="4">
        <v>2025.0</v>
      </c>
      <c r="C52" s="4" t="s">
        <v>87</v>
      </c>
      <c r="D52" s="4" t="s">
        <v>247</v>
      </c>
      <c r="E52" s="4" t="s">
        <v>37</v>
      </c>
      <c r="F52" s="6" t="str">
        <f>IFERROR(VLOOKUP(G52, 'Padronização'!A:C, 3, FALSE), "")</f>
        <v>ABM/MAS aplicado à evacuação</v>
      </c>
      <c r="G52" s="7" t="s">
        <v>45</v>
      </c>
      <c r="H52" s="8" t="s">
        <v>115</v>
      </c>
      <c r="I52" s="21"/>
      <c r="J52" s="21"/>
      <c r="K52" s="21"/>
      <c r="L52" s="9" t="s">
        <v>61</v>
      </c>
      <c r="M52" s="11">
        <f t="shared" si="1"/>
        <v>-10</v>
      </c>
      <c r="N52" s="12" t="str">
        <f t="shared" si="2"/>
        <v>EXCLUIR</v>
      </c>
    </row>
    <row r="53" ht="22.5" customHeight="1">
      <c r="A53" s="4" t="s">
        <v>30</v>
      </c>
      <c r="B53" s="4">
        <v>2025.0</v>
      </c>
      <c r="C53" s="4" t="s">
        <v>33</v>
      </c>
      <c r="D53" s="4" t="s">
        <v>271</v>
      </c>
      <c r="E53" s="4" t="s">
        <v>37</v>
      </c>
      <c r="F53" s="6" t="str">
        <f>IFERROR(VLOOKUP(G53, 'Padronização'!A:C, 3, FALSE), "")</f>
        <v>ABM/MAS aplicado à evacuação</v>
      </c>
      <c r="G53" s="7" t="s">
        <v>45</v>
      </c>
      <c r="H53" s="8" t="s">
        <v>154</v>
      </c>
      <c r="I53" s="9" t="s">
        <v>66</v>
      </c>
      <c r="J53" s="9" t="s">
        <v>100</v>
      </c>
      <c r="K53" s="9" t="s">
        <v>83</v>
      </c>
      <c r="L53" s="9" t="s">
        <v>53</v>
      </c>
      <c r="M53" s="11">
        <f t="shared" si="1"/>
        <v>4</v>
      </c>
      <c r="N53" s="12" t="str">
        <f t="shared" si="2"/>
        <v>MÉDIA</v>
      </c>
    </row>
    <row r="54" ht="22.5" customHeight="1">
      <c r="A54" s="4" t="s">
        <v>30</v>
      </c>
      <c r="B54" s="4">
        <v>2025.0</v>
      </c>
      <c r="C54" s="4" t="s">
        <v>33</v>
      </c>
      <c r="D54" s="4" t="s">
        <v>252</v>
      </c>
      <c r="E54" s="4" t="s">
        <v>37</v>
      </c>
      <c r="F54" s="6" t="str">
        <f>IFERROR(VLOOKUP(G54, 'Padronização'!A:C, 3, FALSE), "")</f>
        <v>ABM/MAS aplicado à evacuação</v>
      </c>
      <c r="G54" s="7" t="s">
        <v>45</v>
      </c>
      <c r="H54" s="8" t="s">
        <v>65</v>
      </c>
      <c r="I54" s="9" t="s">
        <v>66</v>
      </c>
      <c r="J54" s="9" t="s">
        <v>100</v>
      </c>
      <c r="K54" s="9" t="s">
        <v>83</v>
      </c>
      <c r="L54" s="9" t="s">
        <v>53</v>
      </c>
      <c r="M54" s="11">
        <f t="shared" si="1"/>
        <v>4</v>
      </c>
      <c r="N54" s="12" t="str">
        <f t="shared" si="2"/>
        <v>MÉDIA</v>
      </c>
    </row>
    <row r="55" ht="22.5" customHeight="1">
      <c r="A55" s="4" t="s">
        <v>30</v>
      </c>
      <c r="B55" s="4">
        <v>2025.0</v>
      </c>
      <c r="C55" s="4" t="s">
        <v>87</v>
      </c>
      <c r="D55" s="4" t="s">
        <v>260</v>
      </c>
      <c r="E55" s="4" t="s">
        <v>37</v>
      </c>
      <c r="F55" s="6" t="str">
        <f>IFERROR(VLOOKUP(G55, 'Padronização'!A:C, 3, FALSE), "")</f>
        <v>ABM/MAS focado em comportamento humano cognitivo</v>
      </c>
      <c r="G55" s="7" t="s">
        <v>47</v>
      </c>
      <c r="H55" s="8" t="s">
        <v>110</v>
      </c>
      <c r="I55" s="9" t="s">
        <v>66</v>
      </c>
      <c r="J55" s="9" t="s">
        <v>61</v>
      </c>
      <c r="K55" s="9" t="s">
        <v>94</v>
      </c>
      <c r="L55" s="9" t="s">
        <v>53</v>
      </c>
      <c r="M55" s="11">
        <f t="shared" si="1"/>
        <v>3</v>
      </c>
      <c r="N55" s="12" t="str">
        <f t="shared" si="2"/>
        <v>BAIXA</v>
      </c>
    </row>
    <row r="56" ht="22.5" customHeight="1">
      <c r="A56" s="4" t="s">
        <v>30</v>
      </c>
      <c r="B56" s="4">
        <v>2025.0</v>
      </c>
      <c r="C56" s="4" t="s">
        <v>87</v>
      </c>
      <c r="D56" s="4" t="s">
        <v>279</v>
      </c>
      <c r="E56" s="4" t="s">
        <v>37</v>
      </c>
      <c r="F56" s="6" t="str">
        <f>IFERROR(VLOOKUP(G56, 'Padronização'!A:C, 3, FALSE), "")</f>
        <v>ABM/MAS aplicado à evacuação</v>
      </c>
      <c r="G56" s="7" t="s">
        <v>45</v>
      </c>
      <c r="H56" s="8" t="s">
        <v>115</v>
      </c>
      <c r="I56" s="21"/>
      <c r="J56" s="21"/>
      <c r="K56" s="21"/>
      <c r="L56" s="9" t="s">
        <v>61</v>
      </c>
      <c r="M56" s="11">
        <f t="shared" si="1"/>
        <v>-10</v>
      </c>
      <c r="N56" s="12" t="str">
        <f t="shared" si="2"/>
        <v>EXCLUIR</v>
      </c>
    </row>
    <row r="57" ht="22.5" customHeight="1">
      <c r="A57" s="4" t="s">
        <v>30</v>
      </c>
      <c r="B57" s="4">
        <v>2025.0</v>
      </c>
      <c r="C57" s="4" t="s">
        <v>87</v>
      </c>
      <c r="D57" s="4" t="s">
        <v>268</v>
      </c>
      <c r="E57" s="4" t="s">
        <v>37</v>
      </c>
      <c r="F57" s="6" t="str">
        <f>IFERROR(VLOOKUP(G57, 'Padronização'!A:C, 3, FALSE), "")</f>
        <v>ABM/MAS focado em comportamento humano cognitivo</v>
      </c>
      <c r="G57" s="7" t="s">
        <v>47</v>
      </c>
      <c r="H57" s="8" t="s">
        <v>49</v>
      </c>
      <c r="I57" s="9" t="s">
        <v>51</v>
      </c>
      <c r="J57" s="9" t="s">
        <v>100</v>
      </c>
      <c r="K57" s="9" t="s">
        <v>68</v>
      </c>
      <c r="L57" s="9" t="s">
        <v>53</v>
      </c>
      <c r="M57" s="11">
        <f t="shared" si="1"/>
        <v>8</v>
      </c>
      <c r="N57" s="12" t="str">
        <f t="shared" si="2"/>
        <v>ALTÍSSIMA</v>
      </c>
    </row>
    <row r="58" ht="22.5" customHeight="1">
      <c r="A58" s="4" t="s">
        <v>30</v>
      </c>
      <c r="B58" s="4">
        <v>2025.0</v>
      </c>
      <c r="C58" s="4" t="s">
        <v>33</v>
      </c>
      <c r="D58" s="4" t="s">
        <v>285</v>
      </c>
      <c r="E58" s="4" t="s">
        <v>37</v>
      </c>
      <c r="F58" s="6" t="str">
        <f>IFERROR(VLOOKUP(G58, 'Padronização'!A:C, 3, FALSE), "")</f>
        <v>ABM/MAS aplicado à evacuação</v>
      </c>
      <c r="G58" s="7" t="s">
        <v>45</v>
      </c>
      <c r="H58" s="8" t="s">
        <v>286</v>
      </c>
      <c r="I58" s="9" t="s">
        <v>51</v>
      </c>
      <c r="J58" s="9" t="s">
        <v>53</v>
      </c>
      <c r="K58" s="9" t="s">
        <v>94</v>
      </c>
      <c r="L58" s="9" t="s">
        <v>53</v>
      </c>
      <c r="M58" s="11">
        <f t="shared" si="1"/>
        <v>7</v>
      </c>
      <c r="N58" s="12" t="str">
        <f t="shared" si="2"/>
        <v>ALTA</v>
      </c>
    </row>
    <row r="59" ht="22.5" customHeight="1">
      <c r="A59" s="4" t="s">
        <v>30</v>
      </c>
      <c r="B59" s="4">
        <v>2025.0</v>
      </c>
      <c r="C59" s="4" t="s">
        <v>33</v>
      </c>
      <c r="D59" s="28" t="s">
        <v>289</v>
      </c>
      <c r="E59" s="4" t="s">
        <v>37</v>
      </c>
      <c r="F59" s="6" t="str">
        <f>IFERROR(VLOOKUP(G59, 'Padronização'!A:C, 3, FALSE), "")</f>
        <v>ABM/MAS aplicado à evacuação</v>
      </c>
      <c r="G59" s="7" t="s">
        <v>45</v>
      </c>
      <c r="H59" s="8" t="s">
        <v>49</v>
      </c>
      <c r="I59" s="9" t="s">
        <v>66</v>
      </c>
      <c r="J59" s="9" t="s">
        <v>53</v>
      </c>
      <c r="K59" s="9" t="s">
        <v>68</v>
      </c>
      <c r="L59" s="9" t="s">
        <v>53</v>
      </c>
      <c r="M59" s="11">
        <f t="shared" si="1"/>
        <v>7</v>
      </c>
      <c r="N59" s="12" t="str">
        <f t="shared" si="2"/>
        <v>ALTA</v>
      </c>
    </row>
    <row r="60" ht="22.5" customHeight="1">
      <c r="A60" s="4" t="s">
        <v>30</v>
      </c>
      <c r="B60" s="4">
        <v>2025.0</v>
      </c>
      <c r="C60" s="4" t="s">
        <v>33</v>
      </c>
      <c r="D60" s="4" t="s">
        <v>292</v>
      </c>
      <c r="E60" s="4" t="s">
        <v>37</v>
      </c>
      <c r="F60" s="6" t="str">
        <f>IFERROR(VLOOKUP(G60, 'Padronização'!A:C, 3, FALSE), "")</f>
        <v>ABM/MAS focado em comportamento humano cognitivo</v>
      </c>
      <c r="G60" s="7" t="s">
        <v>47</v>
      </c>
      <c r="H60" s="8" t="s">
        <v>115</v>
      </c>
      <c r="I60" s="21"/>
      <c r="J60" s="21"/>
      <c r="K60" s="21"/>
      <c r="L60" s="9" t="s">
        <v>61</v>
      </c>
      <c r="M60" s="11">
        <f t="shared" si="1"/>
        <v>-10</v>
      </c>
      <c r="N60" s="12" t="str">
        <f t="shared" si="2"/>
        <v>EXCLUIR</v>
      </c>
    </row>
    <row r="61" ht="22.5" customHeight="1">
      <c r="A61" s="4" t="s">
        <v>30</v>
      </c>
      <c r="B61" s="4">
        <v>2025.0</v>
      </c>
      <c r="C61" s="4" t="s">
        <v>87</v>
      </c>
      <c r="D61" s="22" t="s">
        <v>296</v>
      </c>
      <c r="E61" s="4" t="s">
        <v>37</v>
      </c>
      <c r="F61" s="6" t="str">
        <f>IFERROR(VLOOKUP(G61, 'Padronização'!A:C, 3, FALSE), "")</f>
        <v>ABM/MAS aplicado à evacuação</v>
      </c>
      <c r="G61" s="7" t="s">
        <v>45</v>
      </c>
      <c r="H61" s="8" t="s">
        <v>110</v>
      </c>
      <c r="I61" s="9" t="s">
        <v>66</v>
      </c>
      <c r="J61" s="9" t="s">
        <v>100</v>
      </c>
      <c r="K61" s="9" t="s">
        <v>298</v>
      </c>
      <c r="L61" s="9" t="s">
        <v>53</v>
      </c>
      <c r="M61" s="11">
        <f t="shared" si="1"/>
        <v>6</v>
      </c>
      <c r="N61" s="12" t="str">
        <f t="shared" si="2"/>
        <v>ALTA</v>
      </c>
    </row>
    <row r="62" ht="22.5" customHeight="1">
      <c r="A62" s="4" t="s">
        <v>30</v>
      </c>
      <c r="B62" s="4">
        <v>2025.0</v>
      </c>
      <c r="C62" s="4" t="s">
        <v>87</v>
      </c>
      <c r="D62" s="4" t="s">
        <v>281</v>
      </c>
      <c r="E62" s="4" t="s">
        <v>37</v>
      </c>
      <c r="F62" s="6" t="str">
        <f>IFERROR(VLOOKUP(G62, 'Padronização'!A:C, 3, FALSE), "")</f>
        <v>ABM/MAS aplicado à evacuação</v>
      </c>
      <c r="G62" s="7" t="s">
        <v>45</v>
      </c>
      <c r="H62" s="8" t="s">
        <v>110</v>
      </c>
      <c r="I62" s="9" t="s">
        <v>66</v>
      </c>
      <c r="J62" s="9" t="s">
        <v>100</v>
      </c>
      <c r="K62" s="9" t="s">
        <v>83</v>
      </c>
      <c r="L62" s="9" t="s">
        <v>53</v>
      </c>
      <c r="M62" s="11">
        <f t="shared" si="1"/>
        <v>4</v>
      </c>
      <c r="N62" s="12" t="str">
        <f t="shared" si="2"/>
        <v>MÉDIA</v>
      </c>
    </row>
    <row r="63" ht="22.5" customHeight="1">
      <c r="A63" s="4" t="s">
        <v>30</v>
      </c>
      <c r="B63" s="4">
        <v>2025.0</v>
      </c>
      <c r="C63" s="4" t="s">
        <v>87</v>
      </c>
      <c r="D63" s="4" t="s">
        <v>303</v>
      </c>
      <c r="E63" s="4" t="s">
        <v>37</v>
      </c>
      <c r="F63" s="6" t="str">
        <f>IFERROR(VLOOKUP(G63, 'Padronização'!A:C, 3, FALSE), "")</f>
        <v>ABM/MAS focado em comportamento humano cognitivo</v>
      </c>
      <c r="G63" s="7" t="s">
        <v>47</v>
      </c>
      <c r="H63" s="8" t="s">
        <v>65</v>
      </c>
      <c r="I63" s="9" t="s">
        <v>51</v>
      </c>
      <c r="J63" s="9" t="s">
        <v>100</v>
      </c>
      <c r="K63" s="9" t="s">
        <v>94</v>
      </c>
      <c r="L63" s="9" t="s">
        <v>53</v>
      </c>
      <c r="M63" s="11">
        <f t="shared" si="1"/>
        <v>6</v>
      </c>
      <c r="N63" s="12" t="str">
        <f t="shared" si="2"/>
        <v>ALTA</v>
      </c>
    </row>
    <row r="64" ht="22.5" customHeight="1">
      <c r="A64" s="4" t="s">
        <v>30</v>
      </c>
      <c r="B64" s="4">
        <v>2024.0</v>
      </c>
      <c r="C64" s="4" t="s">
        <v>33</v>
      </c>
      <c r="D64" s="4" t="s">
        <v>307</v>
      </c>
      <c r="E64" s="4" t="s">
        <v>37</v>
      </c>
      <c r="F64" s="6" t="str">
        <f>IFERROR(VLOOKUP(G64, 'Padronização'!A:C, 3, FALSE), "")</f>
        <v>ABM/MAS aplicado à evacuação</v>
      </c>
      <c r="G64" s="7" t="s">
        <v>45</v>
      </c>
      <c r="H64" s="8" t="s">
        <v>204</v>
      </c>
      <c r="I64" s="9" t="s">
        <v>66</v>
      </c>
      <c r="J64" s="9" t="s">
        <v>53</v>
      </c>
      <c r="K64" s="9" t="s">
        <v>94</v>
      </c>
      <c r="L64" s="9" t="s">
        <v>53</v>
      </c>
      <c r="M64" s="11">
        <f t="shared" si="1"/>
        <v>5</v>
      </c>
      <c r="N64" s="12" t="str">
        <f t="shared" si="2"/>
        <v>MÉDIA</v>
      </c>
    </row>
    <row r="65" ht="22.5" customHeight="1">
      <c r="A65" s="4" t="s">
        <v>30</v>
      </c>
      <c r="B65" s="4">
        <v>2024.0</v>
      </c>
      <c r="C65" s="4" t="s">
        <v>33</v>
      </c>
      <c r="D65" s="4" t="s">
        <v>310</v>
      </c>
      <c r="E65" s="4" t="s">
        <v>37</v>
      </c>
      <c r="F65" s="6" t="str">
        <f>IFERROR(VLOOKUP(G65, 'Padronização'!A:C, 3, FALSE), "")</f>
        <v>ABM/MAS aplicado à evacuação</v>
      </c>
      <c r="G65" s="7" t="s">
        <v>45</v>
      </c>
      <c r="H65" s="8" t="s">
        <v>65</v>
      </c>
      <c r="I65" s="9" t="s">
        <v>66</v>
      </c>
      <c r="J65" s="9" t="s">
        <v>53</v>
      </c>
      <c r="K65" s="9" t="s">
        <v>83</v>
      </c>
      <c r="L65" s="9" t="s">
        <v>53</v>
      </c>
      <c r="M65" s="11">
        <f t="shared" si="1"/>
        <v>5</v>
      </c>
      <c r="N65" s="12" t="str">
        <f t="shared" si="2"/>
        <v>MÉDIA</v>
      </c>
    </row>
    <row r="66" ht="22.5" customHeight="1">
      <c r="A66" s="4" t="s">
        <v>30</v>
      </c>
      <c r="B66" s="4">
        <v>2024.0</v>
      </c>
      <c r="C66" s="4" t="s">
        <v>33</v>
      </c>
      <c r="D66" s="4" t="s">
        <v>313</v>
      </c>
      <c r="E66" s="4" t="s">
        <v>37</v>
      </c>
      <c r="F66" s="6" t="str">
        <f>IFERROR(VLOOKUP(G66, 'Padronização'!A:C, 3, FALSE), "")</f>
        <v>ABM/MAS aplicado à evacuação</v>
      </c>
      <c r="G66" s="7" t="s">
        <v>45</v>
      </c>
      <c r="H66" s="8" t="s">
        <v>125</v>
      </c>
      <c r="I66" s="9" t="s">
        <v>51</v>
      </c>
      <c r="J66" s="9" t="s">
        <v>100</v>
      </c>
      <c r="K66" s="9" t="s">
        <v>94</v>
      </c>
      <c r="L66" s="9" t="s">
        <v>53</v>
      </c>
      <c r="M66" s="11">
        <f t="shared" si="1"/>
        <v>6</v>
      </c>
      <c r="N66" s="12" t="str">
        <f t="shared" si="2"/>
        <v>ALTA</v>
      </c>
    </row>
    <row r="67" ht="22.5" customHeight="1">
      <c r="A67" s="4" t="s">
        <v>30</v>
      </c>
      <c r="B67" s="4">
        <v>2024.0</v>
      </c>
      <c r="C67" s="4" t="s">
        <v>33</v>
      </c>
      <c r="D67" s="4" t="s">
        <v>316</v>
      </c>
      <c r="E67" s="4" t="s">
        <v>37</v>
      </c>
      <c r="F67" s="6" t="str">
        <f>IFERROR(VLOOKUP(G67, 'Padronização'!A:C, 3, FALSE), "")</f>
        <v>ABM/MAS aplicado à evacuação</v>
      </c>
      <c r="G67" s="7" t="s">
        <v>45</v>
      </c>
      <c r="H67" s="8" t="s">
        <v>125</v>
      </c>
      <c r="I67" s="9" t="s">
        <v>51</v>
      </c>
      <c r="J67" s="9" t="s">
        <v>53</v>
      </c>
      <c r="K67" s="9" t="s">
        <v>68</v>
      </c>
      <c r="L67" s="9" t="s">
        <v>53</v>
      </c>
      <c r="M67" s="11">
        <f t="shared" si="1"/>
        <v>9</v>
      </c>
      <c r="N67" s="12" t="str">
        <f t="shared" si="2"/>
        <v>ALTÍSSIMA</v>
      </c>
    </row>
    <row r="68" ht="22.5" customHeight="1">
      <c r="A68" s="4" t="s">
        <v>30</v>
      </c>
      <c r="B68" s="4">
        <v>2024.0</v>
      </c>
      <c r="C68" s="4" t="s">
        <v>33</v>
      </c>
      <c r="D68" s="29" t="s">
        <v>320</v>
      </c>
      <c r="E68" s="4" t="s">
        <v>37</v>
      </c>
      <c r="F68" s="6" t="str">
        <f>IFERROR(VLOOKUP(G68, 'Padronização'!A:C, 3, FALSE), "")</f>
        <v>ABM/MAS focado em comportamento humano cognitivo</v>
      </c>
      <c r="G68" s="7" t="s">
        <v>47</v>
      </c>
      <c r="H68" s="8" t="s">
        <v>286</v>
      </c>
      <c r="I68" s="9" t="s">
        <v>51</v>
      </c>
      <c r="J68" s="18" t="s">
        <v>53</v>
      </c>
      <c r="K68" s="9" t="s">
        <v>55</v>
      </c>
      <c r="L68" s="9" t="s">
        <v>53</v>
      </c>
      <c r="M68" s="11">
        <f t="shared" si="1"/>
        <v>9</v>
      </c>
      <c r="N68" s="12" t="str">
        <f t="shared" si="2"/>
        <v>ALTÍSSIMA</v>
      </c>
    </row>
    <row r="69" ht="22.5" customHeight="1">
      <c r="A69" s="4" t="s">
        <v>30</v>
      </c>
      <c r="B69" s="4">
        <v>2024.0</v>
      </c>
      <c r="C69" s="4" t="s">
        <v>33</v>
      </c>
      <c r="D69" s="29" t="s">
        <v>323</v>
      </c>
      <c r="E69" s="4" t="s">
        <v>37</v>
      </c>
      <c r="F69" s="6" t="str">
        <f>IFERROR(VLOOKUP(G69, 'Padronização'!A:C, 3, FALSE), "")</f>
        <v>ABM/MAS aplicado à evacuação</v>
      </c>
      <c r="G69" s="7" t="s">
        <v>45</v>
      </c>
      <c r="H69" s="8" t="s">
        <v>65</v>
      </c>
      <c r="I69" s="9" t="s">
        <v>51</v>
      </c>
      <c r="J69" s="9" t="s">
        <v>53</v>
      </c>
      <c r="K69" s="9" t="s">
        <v>68</v>
      </c>
      <c r="L69" s="9" t="s">
        <v>53</v>
      </c>
      <c r="M69" s="11">
        <f t="shared" si="1"/>
        <v>9</v>
      </c>
      <c r="N69" s="12" t="str">
        <f t="shared" si="2"/>
        <v>ALTÍSSIMA</v>
      </c>
    </row>
    <row r="70" ht="22.5" customHeight="1">
      <c r="A70" s="4" t="s">
        <v>30</v>
      </c>
      <c r="B70" s="4">
        <v>2024.0</v>
      </c>
      <c r="C70" s="4" t="s">
        <v>33</v>
      </c>
      <c r="D70" s="4" t="s">
        <v>326</v>
      </c>
      <c r="E70" s="4" t="s">
        <v>37</v>
      </c>
      <c r="F70" s="6" t="str">
        <f>IFERROR(VLOOKUP(G70, 'Padronização'!A:C, 3, FALSE), "")</f>
        <v>ABM/MAS focado em comportamento humano cognitivo</v>
      </c>
      <c r="G70" s="7" t="s">
        <v>47</v>
      </c>
      <c r="H70" s="8" t="s">
        <v>125</v>
      </c>
      <c r="I70" s="9" t="s">
        <v>51</v>
      </c>
      <c r="J70" s="9" t="s">
        <v>100</v>
      </c>
      <c r="K70" s="9" t="s">
        <v>94</v>
      </c>
      <c r="L70" s="9" t="s">
        <v>53</v>
      </c>
      <c r="M70" s="11">
        <f t="shared" si="1"/>
        <v>6</v>
      </c>
      <c r="N70" s="12" t="str">
        <f t="shared" si="2"/>
        <v>ALTA</v>
      </c>
    </row>
    <row r="71" ht="22.5" customHeight="1">
      <c r="A71" s="4" t="s">
        <v>30</v>
      </c>
      <c r="B71" s="4">
        <v>2024.0</v>
      </c>
      <c r="C71" s="4" t="s">
        <v>33</v>
      </c>
      <c r="D71" s="4" t="s">
        <v>330</v>
      </c>
      <c r="E71" s="4" t="s">
        <v>37</v>
      </c>
      <c r="F71" s="6" t="str">
        <f>IFERROR(VLOOKUP(G71, 'Padronização'!A:C, 3, FALSE), "")</f>
        <v>ABM/MAS focado em comportamento humano cognitivo</v>
      </c>
      <c r="G71" s="7" t="s">
        <v>47</v>
      </c>
      <c r="H71" s="8" t="s">
        <v>125</v>
      </c>
      <c r="I71" s="9" t="s">
        <v>51</v>
      </c>
      <c r="J71" s="9" t="s">
        <v>53</v>
      </c>
      <c r="K71" s="9" t="s">
        <v>83</v>
      </c>
      <c r="L71" s="9" t="s">
        <v>53</v>
      </c>
      <c r="M71" s="11">
        <f t="shared" si="1"/>
        <v>7</v>
      </c>
      <c r="N71" s="12" t="str">
        <f t="shared" si="2"/>
        <v>ALTA</v>
      </c>
    </row>
    <row r="72" ht="22.5" customHeight="1">
      <c r="A72" s="4" t="s">
        <v>30</v>
      </c>
      <c r="B72" s="4">
        <v>2024.0</v>
      </c>
      <c r="C72" s="4" t="s">
        <v>33</v>
      </c>
      <c r="D72" s="4" t="s">
        <v>112</v>
      </c>
      <c r="E72" s="4" t="s">
        <v>37</v>
      </c>
      <c r="F72" s="6" t="str">
        <f>IFERROR(VLOOKUP(G72, 'Padronização'!A:C, 3, FALSE), "")</f>
        <v>ABM/MAS focado em comportamento humano cognitivo</v>
      </c>
      <c r="G72" s="7" t="s">
        <v>47</v>
      </c>
      <c r="H72" s="8" t="s">
        <v>49</v>
      </c>
      <c r="I72" s="9" t="s">
        <v>51</v>
      </c>
      <c r="J72" s="9" t="s">
        <v>53</v>
      </c>
      <c r="K72" s="9" t="s">
        <v>68</v>
      </c>
      <c r="L72" s="9" t="s">
        <v>53</v>
      </c>
      <c r="M72" s="11">
        <f t="shared" si="1"/>
        <v>9</v>
      </c>
      <c r="N72" s="12" t="str">
        <f t="shared" si="2"/>
        <v>ALTÍSSIMA</v>
      </c>
    </row>
    <row r="73" ht="22.5" hidden="1" customHeight="1">
      <c r="A73" s="4" t="s">
        <v>30</v>
      </c>
      <c r="B73" s="4">
        <v>2024.0</v>
      </c>
      <c r="C73" s="4" t="s">
        <v>33</v>
      </c>
      <c r="D73" s="4" t="s">
        <v>343</v>
      </c>
      <c r="E73" s="4" t="s">
        <v>37</v>
      </c>
      <c r="F73" s="6" t="str">
        <f>IFERROR(VLOOKUP(G73, 'Padronização'!A:C, 3, FALSE), "")</f>
        <v>Emergência em saúde com foco operacional / Operação hospitalar</v>
      </c>
      <c r="G73" s="7" t="s">
        <v>38</v>
      </c>
      <c r="H73" s="8" t="s">
        <v>154</v>
      </c>
      <c r="I73" s="9" t="s">
        <v>51</v>
      </c>
      <c r="J73" s="9" t="s">
        <v>53</v>
      </c>
      <c r="K73" s="9" t="s">
        <v>94</v>
      </c>
      <c r="L73" s="9" t="s">
        <v>53</v>
      </c>
      <c r="M73" s="11">
        <f t="shared" si="1"/>
        <v>7</v>
      </c>
      <c r="N73" s="12" t="str">
        <f t="shared" si="2"/>
        <v>ALTA</v>
      </c>
    </row>
    <row r="74" ht="22.5" customHeight="1">
      <c r="A74" s="4" t="s">
        <v>30</v>
      </c>
      <c r="B74" s="4">
        <v>2024.0</v>
      </c>
      <c r="C74" s="4" t="s">
        <v>33</v>
      </c>
      <c r="D74" s="4" t="s">
        <v>346</v>
      </c>
      <c r="E74" s="4" t="s">
        <v>37</v>
      </c>
      <c r="F74" s="6" t="str">
        <f>IFERROR(VLOOKUP(G74, 'Padronização'!A:C, 3, FALSE), "")</f>
        <v>ABM/MAS aplicado à evacuação</v>
      </c>
      <c r="G74" s="7" t="s">
        <v>45</v>
      </c>
      <c r="H74" s="8" t="s">
        <v>110</v>
      </c>
      <c r="I74" s="9" t="s">
        <v>66</v>
      </c>
      <c r="J74" s="9" t="s">
        <v>53</v>
      </c>
      <c r="K74" s="9" t="s">
        <v>94</v>
      </c>
      <c r="L74" s="9" t="s">
        <v>53</v>
      </c>
      <c r="M74" s="11">
        <f t="shared" si="1"/>
        <v>5</v>
      </c>
      <c r="N74" s="12" t="str">
        <f t="shared" si="2"/>
        <v>MÉDIA</v>
      </c>
    </row>
    <row r="75" ht="22.5" customHeight="1">
      <c r="A75" s="4" t="s">
        <v>30</v>
      </c>
      <c r="B75" s="4">
        <v>2024.0</v>
      </c>
      <c r="C75" s="4" t="s">
        <v>33</v>
      </c>
      <c r="D75" s="4" t="s">
        <v>349</v>
      </c>
      <c r="E75" s="4" t="s">
        <v>37</v>
      </c>
      <c r="F75" s="6" t="str">
        <f>IFERROR(VLOOKUP(G75, 'Padronização'!A:C, 3, FALSE), "")</f>
        <v>ABM/MAS aplicado à evacuação</v>
      </c>
      <c r="G75" s="7" t="s">
        <v>45</v>
      </c>
      <c r="H75" s="8" t="s">
        <v>125</v>
      </c>
      <c r="I75" s="9" t="s">
        <v>51</v>
      </c>
      <c r="J75" s="9" t="s">
        <v>53</v>
      </c>
      <c r="K75" s="9" t="s">
        <v>94</v>
      </c>
      <c r="L75" s="9" t="s">
        <v>53</v>
      </c>
      <c r="M75" s="11">
        <f t="shared" si="1"/>
        <v>7</v>
      </c>
      <c r="N75" s="12" t="str">
        <f t="shared" si="2"/>
        <v>ALTA</v>
      </c>
    </row>
    <row r="76" ht="22.5" customHeight="1">
      <c r="A76" s="4" t="s">
        <v>30</v>
      </c>
      <c r="B76" s="4">
        <v>2024.0</v>
      </c>
      <c r="C76" s="4" t="s">
        <v>33</v>
      </c>
      <c r="D76" s="22" t="s">
        <v>353</v>
      </c>
      <c r="E76" s="4" t="s">
        <v>37</v>
      </c>
      <c r="F76" s="6" t="str">
        <f>IFERROR(VLOOKUP(G76, 'Padronização'!A:C, 3, FALSE), "")</f>
        <v>ABM/MAS focado em comportamento humano cognitivo</v>
      </c>
      <c r="G76" s="7" t="s">
        <v>47</v>
      </c>
      <c r="H76" s="8" t="s">
        <v>354</v>
      </c>
      <c r="I76" s="9" t="s">
        <v>51</v>
      </c>
      <c r="J76" s="9" t="s">
        <v>53</v>
      </c>
      <c r="K76" s="9" t="s">
        <v>94</v>
      </c>
      <c r="L76" s="9" t="s">
        <v>53</v>
      </c>
      <c r="M76" s="11">
        <f t="shared" si="1"/>
        <v>7</v>
      </c>
      <c r="N76" s="12" t="str">
        <f t="shared" si="2"/>
        <v>ALTA</v>
      </c>
    </row>
    <row r="77" ht="22.5" customHeight="1">
      <c r="A77" s="4" t="s">
        <v>30</v>
      </c>
      <c r="B77" s="4">
        <v>2024.0</v>
      </c>
      <c r="C77" s="4" t="s">
        <v>33</v>
      </c>
      <c r="D77" s="22" t="s">
        <v>357</v>
      </c>
      <c r="E77" s="4" t="s">
        <v>37</v>
      </c>
      <c r="F77" s="6" t="str">
        <f>IFERROR(VLOOKUP(G77, 'Padronização'!A:C, 3, FALSE), "")</f>
        <v>ABM/MAS focado em comportamento humano cognitivo</v>
      </c>
      <c r="G77" s="7" t="s">
        <v>47</v>
      </c>
      <c r="H77" s="8" t="s">
        <v>49</v>
      </c>
      <c r="I77" s="9" t="s">
        <v>51</v>
      </c>
      <c r="J77" s="9" t="s">
        <v>53</v>
      </c>
      <c r="K77" s="9" t="s">
        <v>83</v>
      </c>
      <c r="L77" s="9" t="s">
        <v>53</v>
      </c>
      <c r="M77" s="11">
        <f t="shared" si="1"/>
        <v>7</v>
      </c>
      <c r="N77" s="12" t="str">
        <f t="shared" si="2"/>
        <v>ALTA</v>
      </c>
    </row>
    <row r="78" ht="22.5" customHeight="1">
      <c r="A78" s="4" t="s">
        <v>30</v>
      </c>
      <c r="B78" s="4">
        <v>2024.0</v>
      </c>
      <c r="C78" s="4" t="s">
        <v>33</v>
      </c>
      <c r="D78" s="4" t="s">
        <v>360</v>
      </c>
      <c r="E78" s="4" t="s">
        <v>37</v>
      </c>
      <c r="F78" s="6" t="str">
        <f>IFERROR(VLOOKUP(G78, 'Padronização'!A:C, 3, FALSE), "")</f>
        <v>ABM/MAS focado em comportamento humano cognitivo</v>
      </c>
      <c r="G78" s="7" t="s">
        <v>47</v>
      </c>
      <c r="H78" s="8" t="s">
        <v>361</v>
      </c>
      <c r="I78" s="9" t="s">
        <v>51</v>
      </c>
      <c r="J78" s="9" t="s">
        <v>53</v>
      </c>
      <c r="K78" s="9" t="s">
        <v>68</v>
      </c>
      <c r="L78" s="9" t="s">
        <v>53</v>
      </c>
      <c r="M78" s="11">
        <f t="shared" si="1"/>
        <v>9</v>
      </c>
      <c r="N78" s="12" t="str">
        <f t="shared" si="2"/>
        <v>ALTÍSSIMA</v>
      </c>
    </row>
    <row r="79" ht="22.5" customHeight="1">
      <c r="A79" s="4" t="s">
        <v>30</v>
      </c>
      <c r="B79" s="4">
        <v>2024.0</v>
      </c>
      <c r="C79" s="4" t="s">
        <v>33</v>
      </c>
      <c r="D79" s="4" t="s">
        <v>364</v>
      </c>
      <c r="E79" s="4" t="s">
        <v>37</v>
      </c>
      <c r="F79" s="6" t="str">
        <f>IFERROR(VLOOKUP(G79, 'Padronização'!A:C, 3, FALSE), "")</f>
        <v>ABM/MAS focado em comportamento humano cognitivo</v>
      </c>
      <c r="G79" s="7" t="s">
        <v>47</v>
      </c>
      <c r="H79" s="8" t="s">
        <v>365</v>
      </c>
      <c r="I79" s="9" t="s">
        <v>51</v>
      </c>
      <c r="J79" s="9" t="s">
        <v>53</v>
      </c>
      <c r="K79" s="9" t="s">
        <v>67</v>
      </c>
      <c r="L79" s="9" t="s">
        <v>53</v>
      </c>
      <c r="M79" s="11">
        <f t="shared" si="1"/>
        <v>7</v>
      </c>
      <c r="N79" s="12" t="str">
        <f t="shared" si="2"/>
        <v>ALTA</v>
      </c>
    </row>
    <row r="80" ht="22.5" customHeight="1">
      <c r="A80" s="4" t="s">
        <v>30</v>
      </c>
      <c r="B80" s="4">
        <v>2024.0</v>
      </c>
      <c r="C80" s="4" t="s">
        <v>33</v>
      </c>
      <c r="D80" s="4" t="s">
        <v>368</v>
      </c>
      <c r="E80" s="4" t="s">
        <v>37</v>
      </c>
      <c r="F80" s="6" t="str">
        <f>IFERROR(VLOOKUP(G80, 'Padronização'!A:C, 3, FALSE), "")</f>
        <v>ABM/MAS aplicado à evacuação</v>
      </c>
      <c r="G80" s="7" t="s">
        <v>45</v>
      </c>
      <c r="H80" s="8" t="s">
        <v>180</v>
      </c>
      <c r="I80" s="9" t="s">
        <v>51</v>
      </c>
      <c r="J80" s="9" t="s">
        <v>53</v>
      </c>
      <c r="K80" s="9" t="s">
        <v>94</v>
      </c>
      <c r="L80" s="9" t="s">
        <v>53</v>
      </c>
      <c r="M80" s="11">
        <f t="shared" si="1"/>
        <v>7</v>
      </c>
      <c r="N80" s="12" t="str">
        <f t="shared" si="2"/>
        <v>ALTA</v>
      </c>
    </row>
    <row r="81" ht="22.5" customHeight="1">
      <c r="A81" s="4" t="s">
        <v>30</v>
      </c>
      <c r="B81" s="4">
        <v>2024.0</v>
      </c>
      <c r="C81" s="4" t="s">
        <v>33</v>
      </c>
      <c r="D81" s="22" t="s">
        <v>116</v>
      </c>
      <c r="E81" s="4" t="s">
        <v>37</v>
      </c>
      <c r="F81" s="6" t="str">
        <f>IFERROR(VLOOKUP(G81, 'Padronização'!A:C, 3, FALSE), "")</f>
        <v>ABM/MAS focado em comportamento humano cognitivo</v>
      </c>
      <c r="G81" s="7" t="s">
        <v>47</v>
      </c>
      <c r="H81" s="8" t="s">
        <v>49</v>
      </c>
      <c r="I81" s="9" t="s">
        <v>51</v>
      </c>
      <c r="J81" s="9" t="s">
        <v>53</v>
      </c>
      <c r="K81" s="9" t="s">
        <v>94</v>
      </c>
      <c r="L81" s="9" t="s">
        <v>53</v>
      </c>
      <c r="M81" s="11">
        <f t="shared" si="1"/>
        <v>7</v>
      </c>
      <c r="N81" s="12" t="str">
        <f t="shared" si="2"/>
        <v>ALTA</v>
      </c>
    </row>
    <row r="82" ht="22.5" customHeight="1">
      <c r="A82" s="4" t="s">
        <v>30</v>
      </c>
      <c r="B82" s="4">
        <v>2024.0</v>
      </c>
      <c r="C82" s="4" t="s">
        <v>33</v>
      </c>
      <c r="D82" s="4" t="s">
        <v>372</v>
      </c>
      <c r="E82" s="4" t="s">
        <v>37</v>
      </c>
      <c r="F82" s="6" t="str">
        <f>IFERROR(VLOOKUP(G82, 'Padronização'!A:C, 3, FALSE), "")</f>
        <v>ABM/MAS aplicado à evacuação</v>
      </c>
      <c r="G82" s="7" t="s">
        <v>45</v>
      </c>
      <c r="H82" s="8" t="s">
        <v>115</v>
      </c>
      <c r="I82" s="21"/>
      <c r="J82" s="21"/>
      <c r="K82" s="21"/>
      <c r="L82" s="9" t="s">
        <v>61</v>
      </c>
      <c r="M82" s="11">
        <f t="shared" si="1"/>
        <v>-10</v>
      </c>
      <c r="N82" s="12" t="str">
        <f t="shared" si="2"/>
        <v>EXCLUIR</v>
      </c>
    </row>
    <row r="83" ht="22.5" customHeight="1">
      <c r="A83" s="4" t="s">
        <v>30</v>
      </c>
      <c r="B83" s="4">
        <v>2024.0</v>
      </c>
      <c r="C83" s="4" t="s">
        <v>33</v>
      </c>
      <c r="D83" s="4" t="s">
        <v>124</v>
      </c>
      <c r="E83" s="4" t="s">
        <v>37</v>
      </c>
      <c r="F83" s="6" t="str">
        <f>IFERROR(VLOOKUP(G83, 'Padronização'!A:C, 3, FALSE), "")</f>
        <v>ABM/MAS aplicado à evacuação</v>
      </c>
      <c r="G83" s="7" t="s">
        <v>45</v>
      </c>
      <c r="H83" s="8" t="s">
        <v>125</v>
      </c>
      <c r="I83" s="9" t="s">
        <v>51</v>
      </c>
      <c r="J83" s="9" t="s">
        <v>53</v>
      </c>
      <c r="K83" s="9" t="s">
        <v>68</v>
      </c>
      <c r="L83" s="9" t="s">
        <v>53</v>
      </c>
      <c r="M83" s="11">
        <f t="shared" si="1"/>
        <v>9</v>
      </c>
      <c r="N83" s="12" t="str">
        <f t="shared" si="2"/>
        <v>ALTÍSSIMA</v>
      </c>
    </row>
    <row r="84" ht="22.5" customHeight="1">
      <c r="A84" s="4" t="s">
        <v>30</v>
      </c>
      <c r="B84" s="4">
        <v>2024.0</v>
      </c>
      <c r="C84" s="4" t="s">
        <v>33</v>
      </c>
      <c r="D84" s="4" t="s">
        <v>375</v>
      </c>
      <c r="E84" s="4" t="s">
        <v>37</v>
      </c>
      <c r="F84" s="6" t="str">
        <f>IFERROR(VLOOKUP(G84, 'Padronização'!A:C, 3, FALSE), "")</f>
        <v>ABM/MAS focado em comportamento humano cognitivo</v>
      </c>
      <c r="G84" s="7" t="s">
        <v>47</v>
      </c>
      <c r="H84" s="8" t="s">
        <v>377</v>
      </c>
      <c r="I84" s="9" t="s">
        <v>51</v>
      </c>
      <c r="J84" s="9" t="s">
        <v>53</v>
      </c>
      <c r="K84" s="9" t="s">
        <v>82</v>
      </c>
      <c r="L84" s="9" t="s">
        <v>53</v>
      </c>
      <c r="M84" s="11">
        <f t="shared" si="1"/>
        <v>9</v>
      </c>
      <c r="N84" s="12" t="str">
        <f t="shared" si="2"/>
        <v>ALTÍSSIMA</v>
      </c>
    </row>
    <row r="85" ht="22.5" customHeight="1">
      <c r="A85" s="4" t="s">
        <v>30</v>
      </c>
      <c r="B85" s="4">
        <v>2024.0</v>
      </c>
      <c r="C85" s="4" t="s">
        <v>33</v>
      </c>
      <c r="D85" s="4" t="s">
        <v>380</v>
      </c>
      <c r="E85" s="4" t="s">
        <v>37</v>
      </c>
      <c r="F85" s="6" t="str">
        <f>IFERROR(VLOOKUP(G85, 'Padronização'!A:C, 3, FALSE), "")</f>
        <v>ABM/MAS focado em comportamento humano cognitivo</v>
      </c>
      <c r="G85" s="7" t="s">
        <v>47</v>
      </c>
      <c r="H85" s="8" t="s">
        <v>154</v>
      </c>
      <c r="I85" s="9" t="s">
        <v>51</v>
      </c>
      <c r="J85" s="9" t="s">
        <v>53</v>
      </c>
      <c r="K85" s="9" t="s">
        <v>82</v>
      </c>
      <c r="L85" s="9" t="s">
        <v>53</v>
      </c>
      <c r="M85" s="11">
        <f t="shared" si="1"/>
        <v>9</v>
      </c>
      <c r="N85" s="12" t="str">
        <f t="shared" si="2"/>
        <v>ALTÍSSIMA</v>
      </c>
    </row>
    <row r="86" ht="22.5" customHeight="1">
      <c r="A86" s="4" t="s">
        <v>30</v>
      </c>
      <c r="B86" s="4">
        <v>2024.0</v>
      </c>
      <c r="C86" s="4" t="s">
        <v>33</v>
      </c>
      <c r="D86" s="4" t="s">
        <v>381</v>
      </c>
      <c r="E86" s="4" t="s">
        <v>37</v>
      </c>
      <c r="F86" s="6" t="str">
        <f>IFERROR(VLOOKUP(G86, 'Padronização'!A:C, 3, FALSE), "")</f>
        <v>ABM/MAS focado em comportamento humano cognitivo</v>
      </c>
      <c r="G86" s="7" t="s">
        <v>47</v>
      </c>
      <c r="H86" s="8" t="s">
        <v>383</v>
      </c>
      <c r="I86" s="9" t="s">
        <v>51</v>
      </c>
      <c r="J86" s="9" t="s">
        <v>53</v>
      </c>
      <c r="K86" s="9" t="s">
        <v>68</v>
      </c>
      <c r="L86" s="9" t="s">
        <v>53</v>
      </c>
      <c r="M86" s="11">
        <f t="shared" si="1"/>
        <v>9</v>
      </c>
      <c r="N86" s="12" t="str">
        <f t="shared" si="2"/>
        <v>ALTÍSSIMA</v>
      </c>
    </row>
    <row r="87" ht="22.5" customHeight="1">
      <c r="A87" s="4" t="s">
        <v>30</v>
      </c>
      <c r="B87" s="4">
        <v>2024.0</v>
      </c>
      <c r="C87" s="4" t="s">
        <v>33</v>
      </c>
      <c r="D87" s="4" t="s">
        <v>386</v>
      </c>
      <c r="E87" s="4" t="s">
        <v>37</v>
      </c>
      <c r="F87" s="6" t="str">
        <f>IFERROR(VLOOKUP(G87, 'Padronização'!A:C, 3, FALSE), "")</f>
        <v>ABM/MAS focado em comportamento humano cognitivo</v>
      </c>
      <c r="G87" s="7" t="s">
        <v>47</v>
      </c>
      <c r="H87" s="8" t="s">
        <v>154</v>
      </c>
      <c r="I87" s="9" t="s">
        <v>51</v>
      </c>
      <c r="J87" s="9" t="s">
        <v>53</v>
      </c>
      <c r="K87" s="9" t="s">
        <v>68</v>
      </c>
      <c r="L87" s="9" t="s">
        <v>53</v>
      </c>
      <c r="M87" s="11">
        <f t="shared" si="1"/>
        <v>9</v>
      </c>
      <c r="N87" s="12" t="str">
        <f t="shared" si="2"/>
        <v>ALTÍSSIMA</v>
      </c>
    </row>
    <row r="88" ht="22.5" customHeight="1">
      <c r="A88" s="4" t="s">
        <v>30</v>
      </c>
      <c r="B88" s="4">
        <v>2024.0</v>
      </c>
      <c r="C88" s="4" t="s">
        <v>87</v>
      </c>
      <c r="D88" s="4" t="s">
        <v>389</v>
      </c>
      <c r="E88" s="4" t="s">
        <v>37</v>
      </c>
      <c r="F88" s="6" t="str">
        <f>IFERROR(VLOOKUP(G88, 'Padronização'!A:C, 3, FALSE), "")</f>
        <v>ABM/MAS aplicado à evacuação</v>
      </c>
      <c r="G88" s="7" t="s">
        <v>45</v>
      </c>
      <c r="H88" s="8" t="s">
        <v>110</v>
      </c>
      <c r="I88" s="9" t="s">
        <v>66</v>
      </c>
      <c r="J88" s="9" t="s">
        <v>53</v>
      </c>
      <c r="K88" s="9" t="s">
        <v>68</v>
      </c>
      <c r="L88" s="9" t="s">
        <v>53</v>
      </c>
      <c r="M88" s="11">
        <f t="shared" si="1"/>
        <v>7</v>
      </c>
      <c r="N88" s="12" t="str">
        <f t="shared" si="2"/>
        <v>ALTA</v>
      </c>
    </row>
    <row r="89" ht="22.5" customHeight="1">
      <c r="A89" s="4" t="s">
        <v>30</v>
      </c>
      <c r="B89" s="4">
        <v>2024.0</v>
      </c>
      <c r="C89" s="4" t="s">
        <v>33</v>
      </c>
      <c r="D89" s="4" t="s">
        <v>394</v>
      </c>
      <c r="E89" s="4" t="s">
        <v>37</v>
      </c>
      <c r="F89" s="6" t="str">
        <f>IFERROR(VLOOKUP(G89, 'Padronização'!A:C, 3, FALSE), "")</f>
        <v>ABM/MAS aplicado à evacuação</v>
      </c>
      <c r="G89" s="7" t="s">
        <v>45</v>
      </c>
      <c r="H89" s="8" t="s">
        <v>110</v>
      </c>
      <c r="I89" s="9" t="s">
        <v>66</v>
      </c>
      <c r="J89" s="9" t="s">
        <v>100</v>
      </c>
      <c r="K89" s="9" t="s">
        <v>298</v>
      </c>
      <c r="L89" s="9" t="s">
        <v>53</v>
      </c>
      <c r="M89" s="11">
        <f t="shared" si="1"/>
        <v>6</v>
      </c>
      <c r="N89" s="12" t="str">
        <f t="shared" si="2"/>
        <v>ALTA</v>
      </c>
    </row>
    <row r="90" ht="22.5" customHeight="1">
      <c r="A90" s="4" t="s">
        <v>30</v>
      </c>
      <c r="B90" s="4">
        <v>2024.0</v>
      </c>
      <c r="C90" s="4" t="s">
        <v>87</v>
      </c>
      <c r="D90" s="4" t="s">
        <v>397</v>
      </c>
      <c r="E90" s="4" t="s">
        <v>37</v>
      </c>
      <c r="F90" s="6" t="str">
        <f>IFERROR(VLOOKUP(G90, 'Padronização'!A:C, 3, FALSE), "")</f>
        <v>ABM/MAS focado em comportamento humano cognitivo</v>
      </c>
      <c r="G90" s="7" t="s">
        <v>47</v>
      </c>
      <c r="H90" s="8" t="s">
        <v>154</v>
      </c>
      <c r="I90" s="9" t="s">
        <v>51</v>
      </c>
      <c r="J90" s="9" t="s">
        <v>53</v>
      </c>
      <c r="K90" s="9" t="s">
        <v>94</v>
      </c>
      <c r="L90" s="9" t="s">
        <v>53</v>
      </c>
      <c r="M90" s="11">
        <f t="shared" si="1"/>
        <v>7</v>
      </c>
      <c r="N90" s="12" t="str">
        <f t="shared" si="2"/>
        <v>ALTA</v>
      </c>
    </row>
    <row r="91" ht="22.5" customHeight="1">
      <c r="A91" s="4" t="s">
        <v>30</v>
      </c>
      <c r="B91" s="4">
        <v>2024.0</v>
      </c>
      <c r="C91" s="4" t="s">
        <v>33</v>
      </c>
      <c r="D91" s="4" t="s">
        <v>400</v>
      </c>
      <c r="E91" s="4" t="s">
        <v>37</v>
      </c>
      <c r="F91" s="6" t="str">
        <f>IFERROR(VLOOKUP(G91, 'Padronização'!A:C, 3, FALSE), "")</f>
        <v>ABM/MAS focado em comportamento humano cognitivo</v>
      </c>
      <c r="G91" s="7" t="s">
        <v>47</v>
      </c>
      <c r="H91" s="8" t="s">
        <v>110</v>
      </c>
      <c r="I91" s="9" t="s">
        <v>66</v>
      </c>
      <c r="J91" s="9" t="s">
        <v>100</v>
      </c>
      <c r="K91" s="9" t="s">
        <v>68</v>
      </c>
      <c r="L91" s="9" t="s">
        <v>53</v>
      </c>
      <c r="M91" s="11">
        <f t="shared" si="1"/>
        <v>6</v>
      </c>
      <c r="N91" s="12" t="str">
        <f t="shared" si="2"/>
        <v>ALTA</v>
      </c>
    </row>
    <row r="92" ht="22.5" customHeight="1">
      <c r="A92" s="4" t="s">
        <v>30</v>
      </c>
      <c r="B92" s="4">
        <v>2024.0</v>
      </c>
      <c r="C92" s="4" t="s">
        <v>33</v>
      </c>
      <c r="D92" s="4" t="s">
        <v>402</v>
      </c>
      <c r="E92" s="4" t="s">
        <v>37</v>
      </c>
      <c r="F92" s="6" t="str">
        <f>IFERROR(VLOOKUP(G92, 'Padronização'!A:C, 3, FALSE), "")</f>
        <v>ABM/MAS aplicado à evacuação</v>
      </c>
      <c r="G92" s="7" t="s">
        <v>45</v>
      </c>
      <c r="H92" s="8" t="s">
        <v>49</v>
      </c>
      <c r="I92" s="9" t="s">
        <v>51</v>
      </c>
      <c r="J92" s="9" t="s">
        <v>100</v>
      </c>
      <c r="K92" s="9" t="s">
        <v>298</v>
      </c>
      <c r="L92" s="9" t="s">
        <v>53</v>
      </c>
      <c r="M92" s="11">
        <f t="shared" si="1"/>
        <v>8</v>
      </c>
      <c r="N92" s="12" t="str">
        <f t="shared" si="2"/>
        <v>ALTÍSSIMA</v>
      </c>
    </row>
    <row r="93" ht="22.5" customHeight="1">
      <c r="A93" s="4" t="s">
        <v>30</v>
      </c>
      <c r="B93" s="4">
        <v>2024.0</v>
      </c>
      <c r="C93" s="4" t="s">
        <v>33</v>
      </c>
      <c r="D93" s="4" t="s">
        <v>127</v>
      </c>
      <c r="E93" s="4" t="s">
        <v>37</v>
      </c>
      <c r="F93" s="6" t="str">
        <f>IFERROR(VLOOKUP(G93, 'Padronização'!A:C, 3, FALSE), "")</f>
        <v>ABM/MAS aplicado à evacuação</v>
      </c>
      <c r="G93" s="7" t="s">
        <v>45</v>
      </c>
      <c r="H93" s="8" t="s">
        <v>49</v>
      </c>
      <c r="I93" s="9" t="s">
        <v>51</v>
      </c>
      <c r="J93" s="9" t="s">
        <v>53</v>
      </c>
      <c r="K93" s="9" t="s">
        <v>94</v>
      </c>
      <c r="L93" s="9" t="s">
        <v>53</v>
      </c>
      <c r="M93" s="11">
        <f t="shared" si="1"/>
        <v>7</v>
      </c>
      <c r="N93" s="12" t="str">
        <f t="shared" si="2"/>
        <v>ALTA</v>
      </c>
    </row>
    <row r="94" ht="22.5" customHeight="1">
      <c r="A94" s="4" t="s">
        <v>30</v>
      </c>
      <c r="B94" s="4">
        <v>2024.0</v>
      </c>
      <c r="C94" s="4" t="s">
        <v>33</v>
      </c>
      <c r="D94" s="31" t="s">
        <v>403</v>
      </c>
      <c r="E94" s="4" t="s">
        <v>37</v>
      </c>
      <c r="F94" s="6" t="str">
        <f>IFERROR(VLOOKUP(G94, 'Padronização'!A:C, 3, FALSE), "")</f>
        <v>ABM/MAS aplicado à evacuação</v>
      </c>
      <c r="G94" s="7" t="s">
        <v>45</v>
      </c>
      <c r="H94" s="8" t="s">
        <v>154</v>
      </c>
      <c r="I94" s="9" t="s">
        <v>51</v>
      </c>
      <c r="J94" s="9" t="s">
        <v>100</v>
      </c>
      <c r="K94" s="9" t="s">
        <v>68</v>
      </c>
      <c r="L94" s="9" t="s">
        <v>53</v>
      </c>
      <c r="M94" s="11">
        <f t="shared" si="1"/>
        <v>8</v>
      </c>
      <c r="N94" s="12" t="str">
        <f t="shared" si="2"/>
        <v>ALTÍSSIMA</v>
      </c>
    </row>
    <row r="95" ht="22.5" customHeight="1">
      <c r="A95" s="4" t="s">
        <v>30</v>
      </c>
      <c r="B95" s="4">
        <v>2024.0</v>
      </c>
      <c r="C95" s="4" t="s">
        <v>87</v>
      </c>
      <c r="D95" s="4" t="s">
        <v>404</v>
      </c>
      <c r="E95" s="4" t="s">
        <v>37</v>
      </c>
      <c r="F95" s="6" t="str">
        <f>IFERROR(VLOOKUP(G95, 'Padronização'!A:C, 3, FALSE), "")</f>
        <v>ABM/MAS aplicado à evacuação</v>
      </c>
      <c r="G95" s="7" t="s">
        <v>45</v>
      </c>
      <c r="H95" s="8" t="s">
        <v>115</v>
      </c>
      <c r="I95" s="21"/>
      <c r="J95" s="21"/>
      <c r="K95" s="21"/>
      <c r="L95" s="9" t="s">
        <v>61</v>
      </c>
      <c r="M95" s="11">
        <f t="shared" si="1"/>
        <v>-10</v>
      </c>
      <c r="N95" s="12" t="str">
        <f t="shared" si="2"/>
        <v>EXCLUIR</v>
      </c>
    </row>
    <row r="96" ht="22.5" customHeight="1">
      <c r="A96" s="4" t="s">
        <v>30</v>
      </c>
      <c r="B96" s="4">
        <v>2024.0</v>
      </c>
      <c r="C96" s="4" t="s">
        <v>87</v>
      </c>
      <c r="D96" s="4" t="s">
        <v>405</v>
      </c>
      <c r="E96" s="4" t="s">
        <v>37</v>
      </c>
      <c r="F96" s="6" t="str">
        <f>IFERROR(VLOOKUP(G96, 'Padronização'!A:C, 3, FALSE), "")</f>
        <v>ABM/MAS focado em comportamento humano cognitivo</v>
      </c>
      <c r="G96" s="7" t="s">
        <v>47</v>
      </c>
      <c r="H96" s="8" t="s">
        <v>115</v>
      </c>
      <c r="I96" s="21"/>
      <c r="J96" s="21"/>
      <c r="K96" s="21"/>
      <c r="L96" s="9" t="s">
        <v>61</v>
      </c>
      <c r="M96" s="11">
        <f t="shared" si="1"/>
        <v>-10</v>
      </c>
      <c r="N96" s="12" t="str">
        <f t="shared" si="2"/>
        <v>EXCLUIR</v>
      </c>
    </row>
    <row r="97" ht="22.5" customHeight="1">
      <c r="A97" s="4" t="s">
        <v>30</v>
      </c>
      <c r="B97" s="4">
        <v>2024.0</v>
      </c>
      <c r="C97" s="4" t="s">
        <v>87</v>
      </c>
      <c r="D97" s="4" t="s">
        <v>406</v>
      </c>
      <c r="E97" s="4" t="s">
        <v>37</v>
      </c>
      <c r="F97" s="6" t="str">
        <f>IFERROR(VLOOKUP(G97, 'Padronização'!A:C, 3, FALSE), "")</f>
        <v>ABM/MAS focado em comportamento humano cognitivo</v>
      </c>
      <c r="G97" s="7" t="s">
        <v>47</v>
      </c>
      <c r="H97" s="8" t="s">
        <v>115</v>
      </c>
      <c r="I97" s="21"/>
      <c r="J97" s="21"/>
      <c r="K97" s="21"/>
      <c r="L97" s="9" t="s">
        <v>61</v>
      </c>
      <c r="M97" s="11">
        <f t="shared" si="1"/>
        <v>-10</v>
      </c>
      <c r="N97" s="12" t="str">
        <f t="shared" si="2"/>
        <v>EXCLUIR</v>
      </c>
    </row>
    <row r="98" ht="22.5" customHeight="1">
      <c r="A98" s="4" t="s">
        <v>30</v>
      </c>
      <c r="B98" s="4">
        <v>2024.0</v>
      </c>
      <c r="C98" s="4" t="s">
        <v>33</v>
      </c>
      <c r="D98" s="4" t="s">
        <v>408</v>
      </c>
      <c r="E98" s="4" t="s">
        <v>37</v>
      </c>
      <c r="F98" s="6" t="str">
        <f>IFERROR(VLOOKUP(G98, 'Padronização'!A:C, 3, FALSE), "")</f>
        <v>ABM/MAS focado em comportamento humano cognitivo</v>
      </c>
      <c r="G98" s="7" t="s">
        <v>47</v>
      </c>
      <c r="H98" s="8" t="s">
        <v>65</v>
      </c>
      <c r="I98" s="9" t="s">
        <v>51</v>
      </c>
      <c r="J98" s="9" t="s">
        <v>100</v>
      </c>
      <c r="K98" s="9" t="s">
        <v>68</v>
      </c>
      <c r="L98" s="9" t="s">
        <v>53</v>
      </c>
      <c r="M98" s="11">
        <f t="shared" si="1"/>
        <v>8</v>
      </c>
      <c r="N98" s="12" t="str">
        <f t="shared" si="2"/>
        <v>ALTÍSSIMA</v>
      </c>
    </row>
    <row r="99" ht="22.5" customHeight="1">
      <c r="A99" s="4" t="s">
        <v>30</v>
      </c>
      <c r="B99" s="4">
        <v>2024.0</v>
      </c>
      <c r="C99" s="4" t="s">
        <v>33</v>
      </c>
      <c r="D99" s="4" t="s">
        <v>410</v>
      </c>
      <c r="E99" s="4" t="s">
        <v>37</v>
      </c>
      <c r="F99" s="6" t="str">
        <f>IFERROR(VLOOKUP(G99, 'Padronização'!A:C, 3, FALSE), "")</f>
        <v>ABM/MAS focado em comportamento humano cognitivo</v>
      </c>
      <c r="G99" s="7" t="s">
        <v>47</v>
      </c>
      <c r="H99" s="8" t="s">
        <v>49</v>
      </c>
      <c r="I99" s="9" t="s">
        <v>51</v>
      </c>
      <c r="J99" s="9" t="s">
        <v>100</v>
      </c>
      <c r="K99" s="9" t="s">
        <v>68</v>
      </c>
      <c r="L99" s="9" t="s">
        <v>53</v>
      </c>
      <c r="M99" s="11">
        <f t="shared" si="1"/>
        <v>8</v>
      </c>
      <c r="N99" s="12" t="str">
        <f t="shared" si="2"/>
        <v>ALTÍSSIMA</v>
      </c>
    </row>
    <row r="100" ht="22.5" customHeight="1">
      <c r="A100" s="4" t="s">
        <v>30</v>
      </c>
      <c r="B100" s="4">
        <v>2024.0</v>
      </c>
      <c r="C100" s="4" t="s">
        <v>33</v>
      </c>
      <c r="D100" s="4" t="s">
        <v>413</v>
      </c>
      <c r="E100" s="4" t="s">
        <v>37</v>
      </c>
      <c r="F100" s="6" t="str">
        <f>IFERROR(VLOOKUP(G100, 'Padronização'!A:C, 3, FALSE), "")</f>
        <v>ABM/MAS focado em comportamento humano cognitivo</v>
      </c>
      <c r="G100" s="7" t="s">
        <v>47</v>
      </c>
      <c r="H100" s="8" t="s">
        <v>49</v>
      </c>
      <c r="I100" s="9" t="s">
        <v>51</v>
      </c>
      <c r="J100" s="9" t="s">
        <v>100</v>
      </c>
      <c r="K100" s="9" t="s">
        <v>67</v>
      </c>
      <c r="L100" s="9" t="s">
        <v>53</v>
      </c>
      <c r="M100" s="11">
        <f t="shared" si="1"/>
        <v>8</v>
      </c>
      <c r="N100" s="12" t="str">
        <f t="shared" si="2"/>
        <v>ALTÍSSIMA</v>
      </c>
    </row>
    <row r="101" ht="22.5" customHeight="1">
      <c r="A101" s="4" t="s">
        <v>30</v>
      </c>
      <c r="B101" s="4">
        <v>2023.0</v>
      </c>
      <c r="C101" s="4" t="s">
        <v>33</v>
      </c>
      <c r="D101" s="4" t="s">
        <v>416</v>
      </c>
      <c r="E101" s="4" t="s">
        <v>37</v>
      </c>
      <c r="F101" s="6" t="str">
        <f>IFERROR(VLOOKUP(G101, 'Padronização'!A:C, 3, FALSE), "")</f>
        <v>ABM/MAS aplicado à evacuação</v>
      </c>
      <c r="G101" s="7" t="s">
        <v>45</v>
      </c>
      <c r="H101" s="8" t="s">
        <v>110</v>
      </c>
      <c r="I101" s="9" t="s">
        <v>66</v>
      </c>
      <c r="J101" s="9" t="s">
        <v>100</v>
      </c>
      <c r="K101" s="9" t="s">
        <v>83</v>
      </c>
      <c r="L101" s="9" t="s">
        <v>53</v>
      </c>
      <c r="M101" s="11">
        <f t="shared" si="1"/>
        <v>4</v>
      </c>
      <c r="N101" s="12" t="str">
        <f t="shared" si="2"/>
        <v>MÉDIA</v>
      </c>
    </row>
    <row r="102" ht="22.5" customHeight="1">
      <c r="A102" s="4" t="s">
        <v>30</v>
      </c>
      <c r="B102" s="4">
        <v>2023.0</v>
      </c>
      <c r="C102" s="4" t="s">
        <v>33</v>
      </c>
      <c r="D102" s="4" t="s">
        <v>419</v>
      </c>
      <c r="E102" s="4" t="s">
        <v>37</v>
      </c>
      <c r="F102" s="6" t="str">
        <f>IFERROR(VLOOKUP(G102, 'Padronização'!A:C, 3, FALSE), "")</f>
        <v>ABM/MAS aplicado à evacuação</v>
      </c>
      <c r="G102" s="7" t="s">
        <v>45</v>
      </c>
      <c r="H102" s="8" t="s">
        <v>110</v>
      </c>
      <c r="I102" s="9" t="s">
        <v>66</v>
      </c>
      <c r="J102" s="9" t="s">
        <v>100</v>
      </c>
      <c r="K102" s="9" t="s">
        <v>83</v>
      </c>
      <c r="L102" s="9" t="s">
        <v>53</v>
      </c>
      <c r="M102" s="11">
        <f t="shared" si="1"/>
        <v>4</v>
      </c>
      <c r="N102" s="12" t="str">
        <f t="shared" si="2"/>
        <v>MÉDIA</v>
      </c>
    </row>
    <row r="103" ht="22.5" customHeight="1">
      <c r="A103" s="4" t="s">
        <v>30</v>
      </c>
      <c r="B103" s="4">
        <v>2023.0</v>
      </c>
      <c r="C103" s="4" t="s">
        <v>33</v>
      </c>
      <c r="D103" s="4" t="s">
        <v>422</v>
      </c>
      <c r="E103" s="4" t="str">
        <f>IFERROR(VLOOKUP(G103, 'Padronização'!A:C, 2, FALSE), "")</f>
        <v>✅</v>
      </c>
      <c r="F103" s="23" t="str">
        <f>IFERROR(VLOOKUP(G103, 'Padronização'!A:C, 3, FALSE), "")</f>
        <v>Grupos vulneráveis em cenários de crise</v>
      </c>
      <c r="G103" s="4" t="s">
        <v>54</v>
      </c>
      <c r="H103" s="24" t="s">
        <v>65</v>
      </c>
      <c r="I103" s="14" t="s">
        <v>66</v>
      </c>
      <c r="J103" s="14" t="s">
        <v>100</v>
      </c>
      <c r="K103" s="14" t="s">
        <v>68</v>
      </c>
      <c r="L103" s="14" t="s">
        <v>53</v>
      </c>
      <c r="M103" s="11">
        <f t="shared" si="1"/>
        <v>6</v>
      </c>
      <c r="N103" s="12" t="str">
        <f t="shared" si="2"/>
        <v>ALTA</v>
      </c>
    </row>
    <row r="104" ht="22.5" customHeight="1">
      <c r="A104" s="4" t="s">
        <v>30</v>
      </c>
      <c r="B104" s="4">
        <v>2023.0</v>
      </c>
      <c r="C104" s="4" t="s">
        <v>33</v>
      </c>
      <c r="D104" s="4" t="s">
        <v>425</v>
      </c>
      <c r="E104" s="4" t="str">
        <f>IFERROR(VLOOKUP(G104, 'Padronização'!A:C, 2, FALSE), "")</f>
        <v>✅</v>
      </c>
      <c r="F104" s="23" t="str">
        <f>IFERROR(VLOOKUP(G104, 'Padronização'!A:C, 3, FALSE), "")</f>
        <v>ABM/MAS aplicado à evacuação</v>
      </c>
      <c r="G104" s="4" t="s">
        <v>45</v>
      </c>
      <c r="H104" s="24" t="s">
        <v>65</v>
      </c>
      <c r="I104" s="14" t="s">
        <v>66</v>
      </c>
      <c r="J104" s="14" t="s">
        <v>61</v>
      </c>
      <c r="K104" s="14" t="s">
        <v>94</v>
      </c>
      <c r="L104" s="14" t="s">
        <v>53</v>
      </c>
      <c r="M104" s="11">
        <f t="shared" si="1"/>
        <v>3</v>
      </c>
      <c r="N104" s="12" t="str">
        <f t="shared" si="2"/>
        <v>BAIXA</v>
      </c>
    </row>
    <row r="105" ht="22.5" customHeight="1">
      <c r="A105" s="4" t="s">
        <v>30</v>
      </c>
      <c r="B105" s="4">
        <v>2023.0</v>
      </c>
      <c r="C105" s="4" t="s">
        <v>33</v>
      </c>
      <c r="D105" s="4" t="s">
        <v>428</v>
      </c>
      <c r="E105" s="4" t="str">
        <f>IFERROR(VLOOKUP(G105, 'Padronização'!A:C, 2, FALSE), "")</f>
        <v>✅</v>
      </c>
      <c r="F105" s="23" t="str">
        <f>IFERROR(VLOOKUP(G105, 'Padronização'!A:C, 3, FALSE), "")</f>
        <v>Resposta humana a alertas e decisões</v>
      </c>
      <c r="G105" s="4" t="s">
        <v>50</v>
      </c>
      <c r="H105" s="24" t="s">
        <v>286</v>
      </c>
      <c r="I105" s="14" t="s">
        <v>51</v>
      </c>
      <c r="J105" s="14" t="s">
        <v>100</v>
      </c>
      <c r="K105" s="14" t="s">
        <v>94</v>
      </c>
      <c r="L105" s="14" t="s">
        <v>53</v>
      </c>
      <c r="M105" s="11">
        <f t="shared" si="1"/>
        <v>6</v>
      </c>
      <c r="N105" s="12" t="str">
        <f t="shared" si="2"/>
        <v>ALTA</v>
      </c>
    </row>
    <row r="106" ht="22.5" customHeight="1">
      <c r="A106" s="4" t="s">
        <v>30</v>
      </c>
      <c r="B106" s="4">
        <v>2023.0</v>
      </c>
      <c r="C106" s="4" t="s">
        <v>33</v>
      </c>
      <c r="D106" s="4" t="s">
        <v>431</v>
      </c>
      <c r="E106" s="4" t="str">
        <f>IFERROR(VLOOKUP(G106, 'Padronização'!A:C, 2, FALSE), "")</f>
        <v>✅</v>
      </c>
      <c r="F106" s="23" t="str">
        <f>IFERROR(VLOOKUP(G106, 'Padronização'!A:C, 3, FALSE), "")</f>
        <v>ABM/MAS focado em comportamento humano cognitivo</v>
      </c>
      <c r="G106" s="4" t="s">
        <v>47</v>
      </c>
      <c r="H106" s="24" t="s">
        <v>286</v>
      </c>
      <c r="I106" s="14" t="s">
        <v>51</v>
      </c>
      <c r="J106" s="14" t="s">
        <v>61</v>
      </c>
      <c r="K106" s="14" t="s">
        <v>94</v>
      </c>
      <c r="L106" s="14" t="s">
        <v>53</v>
      </c>
      <c r="M106" s="11">
        <f t="shared" si="1"/>
        <v>5</v>
      </c>
      <c r="N106" s="12" t="str">
        <f t="shared" si="2"/>
        <v>MÉDIA</v>
      </c>
    </row>
    <row r="107" ht="22.5" customHeight="1">
      <c r="A107" s="4" t="s">
        <v>30</v>
      </c>
      <c r="B107" s="4">
        <v>2023.0</v>
      </c>
      <c r="C107" s="4" t="s">
        <v>33</v>
      </c>
      <c r="D107" s="22" t="s">
        <v>432</v>
      </c>
      <c r="E107" s="4" t="str">
        <f>IFERROR(VLOOKUP(G107, 'Padronização'!A:C, 2, FALSE), "")</f>
        <v>✅</v>
      </c>
      <c r="F107" s="23" t="str">
        <f>IFERROR(VLOOKUP(G107, 'Padronização'!A:C, 3, FALSE), "")</f>
        <v>Resposta humana a alertas e decisões</v>
      </c>
      <c r="G107" s="4" t="s">
        <v>50</v>
      </c>
      <c r="H107" s="24" t="s">
        <v>49</v>
      </c>
      <c r="I107" s="14" t="s">
        <v>51</v>
      </c>
      <c r="J107" s="14" t="s">
        <v>100</v>
      </c>
      <c r="K107" s="14" t="s">
        <v>94</v>
      </c>
      <c r="L107" s="14" t="s">
        <v>53</v>
      </c>
      <c r="M107" s="11">
        <f t="shared" si="1"/>
        <v>6</v>
      </c>
      <c r="N107" s="12" t="str">
        <f t="shared" si="2"/>
        <v>ALTA</v>
      </c>
    </row>
    <row r="108" ht="22.5" customHeight="1">
      <c r="A108" s="4" t="s">
        <v>30</v>
      </c>
      <c r="B108" s="4">
        <v>2023.0</v>
      </c>
      <c r="C108" s="4" t="s">
        <v>33</v>
      </c>
      <c r="D108" s="4" t="s">
        <v>433</v>
      </c>
      <c r="E108" s="4" t="str">
        <f>IFERROR(VLOOKUP(G108, 'Padronização'!A:C, 2, FALSE), "")</f>
        <v>✅</v>
      </c>
      <c r="F108" s="23" t="str">
        <f>IFERROR(VLOOKUP(G108, 'Padronização'!A:C, 3, FALSE), "")</f>
        <v>ABM/MAS aplicado à evacuação</v>
      </c>
      <c r="G108" s="13" t="s">
        <v>45</v>
      </c>
      <c r="H108" s="24" t="s">
        <v>125</v>
      </c>
      <c r="I108" s="14" t="s">
        <v>51</v>
      </c>
      <c r="J108" s="14" t="s">
        <v>61</v>
      </c>
      <c r="K108" s="14" t="s">
        <v>68</v>
      </c>
      <c r="L108" s="14" t="s">
        <v>53</v>
      </c>
      <c r="M108" s="11">
        <f t="shared" si="1"/>
        <v>7</v>
      </c>
      <c r="N108" s="12" t="str">
        <f t="shared" si="2"/>
        <v>ALTA</v>
      </c>
    </row>
    <row r="109" ht="22.5" customHeight="1">
      <c r="A109" s="4" t="s">
        <v>30</v>
      </c>
      <c r="B109" s="4">
        <v>2023.0</v>
      </c>
      <c r="C109" s="4" t="s">
        <v>33</v>
      </c>
      <c r="D109" s="4" t="s">
        <v>435</v>
      </c>
      <c r="E109" s="4" t="str">
        <f>IFERROR(VLOOKUP(G109, 'Padronização'!A:C, 2, FALSE), "")</f>
        <v>✅</v>
      </c>
      <c r="F109" s="23" t="str">
        <f>IFERROR(VLOOKUP(G109, 'Padronização'!A:C, 3, FALSE), "")</f>
        <v>ABM/MAS focado em comportamento humano cognitivo</v>
      </c>
      <c r="G109" s="13" t="s">
        <v>47</v>
      </c>
      <c r="H109" s="24" t="s">
        <v>204</v>
      </c>
      <c r="I109" s="14" t="s">
        <v>66</v>
      </c>
      <c r="J109" s="14" t="s">
        <v>100</v>
      </c>
      <c r="K109" s="14" t="s">
        <v>68</v>
      </c>
      <c r="L109" s="14" t="s">
        <v>53</v>
      </c>
      <c r="M109" s="11">
        <f t="shared" si="1"/>
        <v>6</v>
      </c>
      <c r="N109" s="12" t="str">
        <f t="shared" si="2"/>
        <v>ALTA</v>
      </c>
    </row>
    <row r="110" ht="22.5" customHeight="1">
      <c r="A110" s="4" t="s">
        <v>30</v>
      </c>
      <c r="B110" s="4">
        <v>2023.0</v>
      </c>
      <c r="C110" s="4" t="s">
        <v>33</v>
      </c>
      <c r="D110" s="4" t="s">
        <v>437</v>
      </c>
      <c r="E110" s="4" t="str">
        <f>IFERROR(VLOOKUP(G110, 'Padronização'!A:C, 2, FALSE), "")</f>
        <v>✅</v>
      </c>
      <c r="F110" s="23" t="str">
        <f>IFERROR(VLOOKUP(G110, 'Padronização'!A:C, 3, FALSE), "")</f>
        <v>ABM/MAS aplicado à evacuação</v>
      </c>
      <c r="G110" s="13" t="s">
        <v>45</v>
      </c>
      <c r="H110" s="24" t="s">
        <v>49</v>
      </c>
      <c r="I110" s="14" t="s">
        <v>51</v>
      </c>
      <c r="J110" s="14" t="s">
        <v>100</v>
      </c>
      <c r="K110" s="14" t="s">
        <v>94</v>
      </c>
      <c r="L110" s="14" t="s">
        <v>53</v>
      </c>
      <c r="M110" s="11">
        <f t="shared" si="1"/>
        <v>6</v>
      </c>
      <c r="N110" s="12" t="str">
        <f t="shared" si="2"/>
        <v>ALTA</v>
      </c>
    </row>
    <row r="111" ht="22.5" customHeight="1">
      <c r="A111" s="4" t="s">
        <v>30</v>
      </c>
      <c r="B111" s="4">
        <v>2023.0</v>
      </c>
      <c r="C111" s="4" t="s">
        <v>87</v>
      </c>
      <c r="D111" s="4" t="s">
        <v>440</v>
      </c>
      <c r="E111" s="4" t="str">
        <f>IFERROR(VLOOKUP(G111, 'Padronização'!A:C, 2, FALSE), "")</f>
        <v>✅</v>
      </c>
      <c r="F111" s="23" t="str">
        <f>IFERROR(VLOOKUP(G111, 'Padronização'!A:C, 3, FALSE), "")</f>
        <v>Resposta humana a alertas e decisões</v>
      </c>
      <c r="G111" s="13" t="s">
        <v>50</v>
      </c>
      <c r="H111" s="24" t="s">
        <v>115</v>
      </c>
      <c r="I111" s="12"/>
      <c r="J111" s="12"/>
      <c r="K111" s="12"/>
      <c r="L111" s="14" t="s">
        <v>61</v>
      </c>
      <c r="M111" s="11">
        <f t="shared" si="1"/>
        <v>-10</v>
      </c>
      <c r="N111" s="12" t="str">
        <f t="shared" si="2"/>
        <v>EXCLUIR</v>
      </c>
    </row>
    <row r="112" ht="22.5" customHeight="1">
      <c r="A112" s="4" t="s">
        <v>30</v>
      </c>
      <c r="B112" s="4">
        <v>2023.0</v>
      </c>
      <c r="C112" s="4" t="s">
        <v>87</v>
      </c>
      <c r="D112" s="4" t="s">
        <v>442</v>
      </c>
      <c r="E112" s="4" t="str">
        <f>IFERROR(VLOOKUP(G112, 'Padronização'!A:C, 2, FALSE), "")</f>
        <v>✅</v>
      </c>
      <c r="F112" s="23" t="str">
        <f>IFERROR(VLOOKUP(G112, 'Padronização'!A:C, 3, FALSE), "")</f>
        <v>ABM/MAS aplicado à evacuação</v>
      </c>
      <c r="G112" s="13" t="s">
        <v>45</v>
      </c>
      <c r="H112" s="24" t="s">
        <v>115</v>
      </c>
      <c r="I112" s="12"/>
      <c r="J112" s="12"/>
      <c r="K112" s="12"/>
      <c r="L112" s="14" t="s">
        <v>61</v>
      </c>
      <c r="M112" s="11">
        <f t="shared" si="1"/>
        <v>-10</v>
      </c>
      <c r="N112" s="12" t="str">
        <f t="shared" si="2"/>
        <v>EXCLUIR</v>
      </c>
    </row>
    <row r="113" ht="22.5" customHeight="1">
      <c r="A113" s="4" t="s">
        <v>30</v>
      </c>
      <c r="B113" s="4">
        <v>2023.0</v>
      </c>
      <c r="C113" s="4" t="s">
        <v>390</v>
      </c>
      <c r="D113" s="4" t="s">
        <v>445</v>
      </c>
      <c r="E113" s="4" t="str">
        <f>IFERROR(VLOOKUP(G113, 'Padronização'!A:C, 2, FALSE), "")</f>
        <v>✅</v>
      </c>
      <c r="F113" s="23" t="str">
        <f>IFERROR(VLOOKUP(G113, 'Padronização'!A:C, 3, FALSE), "")</f>
        <v>ABM/MAS focado em comportamento humano cognitivo</v>
      </c>
      <c r="G113" s="4" t="s">
        <v>47</v>
      </c>
      <c r="H113" s="24" t="s">
        <v>65</v>
      </c>
      <c r="I113" s="14" t="s">
        <v>66</v>
      </c>
      <c r="J113" s="14" t="s">
        <v>53</v>
      </c>
      <c r="K113" s="14"/>
      <c r="L113" s="14" t="s">
        <v>53</v>
      </c>
      <c r="M113" s="11">
        <f t="shared" si="1"/>
        <v>5</v>
      </c>
      <c r="N113" s="12" t="str">
        <f t="shared" si="2"/>
        <v>MÉDIA</v>
      </c>
    </row>
    <row r="114" ht="22.5" customHeight="1">
      <c r="A114" s="4" t="s">
        <v>30</v>
      </c>
      <c r="B114" s="4">
        <v>2023.0</v>
      </c>
      <c r="C114" s="4" t="s">
        <v>33</v>
      </c>
      <c r="D114" s="4" t="s">
        <v>447</v>
      </c>
      <c r="E114" s="4" t="str">
        <f>IFERROR(VLOOKUP(G114, 'Padronização'!A:C, 2, FALSE), "")</f>
        <v>✅</v>
      </c>
      <c r="F114" s="23" t="str">
        <f>IFERROR(VLOOKUP(G114, 'Padronização'!A:C, 3, FALSE), "")</f>
        <v>ABM/MAS focado em comportamento humano cognitivo</v>
      </c>
      <c r="G114" s="13" t="s">
        <v>47</v>
      </c>
      <c r="H114" s="24" t="s">
        <v>49</v>
      </c>
      <c r="I114" s="14" t="s">
        <v>51</v>
      </c>
      <c r="J114" s="14" t="s">
        <v>100</v>
      </c>
      <c r="K114" s="14" t="s">
        <v>82</v>
      </c>
      <c r="L114" s="14" t="s">
        <v>53</v>
      </c>
      <c r="M114" s="11">
        <f t="shared" si="1"/>
        <v>8</v>
      </c>
      <c r="N114" s="12" t="str">
        <f t="shared" si="2"/>
        <v>ALTÍSSIMA</v>
      </c>
    </row>
    <row r="115" ht="22.5" customHeight="1">
      <c r="A115" s="4" t="s">
        <v>30</v>
      </c>
      <c r="B115" s="4">
        <v>2023.0</v>
      </c>
      <c r="C115" s="4" t="s">
        <v>33</v>
      </c>
      <c r="D115" s="4" t="s">
        <v>449</v>
      </c>
      <c r="E115" s="4" t="str">
        <f>IFERROR(VLOOKUP(G115, 'Padronização'!A:C, 2, FALSE), "")</f>
        <v>✅</v>
      </c>
      <c r="F115" s="23" t="str">
        <f>IFERROR(VLOOKUP(G115, 'Padronização'!A:C, 3, FALSE), "")</f>
        <v>ABM/MAS aplicado à evacuação</v>
      </c>
      <c r="G115" s="4" t="s">
        <v>45</v>
      </c>
      <c r="H115" s="24" t="s">
        <v>154</v>
      </c>
      <c r="I115" s="14" t="s">
        <v>51</v>
      </c>
      <c r="J115" s="14" t="s">
        <v>53</v>
      </c>
      <c r="K115" s="14" t="s">
        <v>298</v>
      </c>
      <c r="L115" s="14" t="s">
        <v>53</v>
      </c>
      <c r="M115" s="11">
        <f t="shared" si="1"/>
        <v>9</v>
      </c>
      <c r="N115" s="12" t="str">
        <f t="shared" si="2"/>
        <v>ALTÍSSIMA</v>
      </c>
    </row>
    <row r="116" ht="22.5" customHeight="1">
      <c r="A116" s="4" t="s">
        <v>30</v>
      </c>
      <c r="B116" s="4">
        <v>2023.0</v>
      </c>
      <c r="C116" s="4" t="s">
        <v>87</v>
      </c>
      <c r="D116" s="25" t="s">
        <v>451</v>
      </c>
      <c r="E116" s="4" t="str">
        <f>IFERROR(VLOOKUP(G116, 'Padronização'!A:C, 2, FALSE), "")</f>
        <v>✅</v>
      </c>
      <c r="F116" s="23" t="str">
        <f>IFERROR(VLOOKUP(G116, 'Padronização'!A:C, 3, FALSE), "")</f>
        <v>ABM/MAS focado em comportamento humano cognitivo</v>
      </c>
      <c r="G116" s="13" t="s">
        <v>47</v>
      </c>
      <c r="H116" s="24" t="s">
        <v>65</v>
      </c>
      <c r="I116" s="14" t="s">
        <v>66</v>
      </c>
      <c r="J116" s="14" t="s">
        <v>53</v>
      </c>
      <c r="K116" s="14" t="s">
        <v>82</v>
      </c>
      <c r="L116" s="14" t="s">
        <v>53</v>
      </c>
      <c r="M116" s="11">
        <f t="shared" si="1"/>
        <v>7</v>
      </c>
      <c r="N116" s="12" t="str">
        <f t="shared" si="2"/>
        <v>ALTA</v>
      </c>
    </row>
    <row r="117" ht="22.5" customHeight="1">
      <c r="A117" s="4" t="s">
        <v>30</v>
      </c>
      <c r="B117" s="4">
        <v>2023.0</v>
      </c>
      <c r="C117" s="4" t="s">
        <v>33</v>
      </c>
      <c r="D117" s="22" t="s">
        <v>454</v>
      </c>
      <c r="E117" s="4" t="str">
        <f>IFERROR(VLOOKUP(G117, 'Padronização'!A:C, 2, FALSE), "")</f>
        <v>✅</v>
      </c>
      <c r="F117" s="23" t="str">
        <f>IFERROR(VLOOKUP(G117, 'Padronização'!A:C, 3, FALSE), "")</f>
        <v>Resposta humana a alertas e decisões</v>
      </c>
      <c r="G117" s="13" t="s">
        <v>50</v>
      </c>
      <c r="H117" s="24" t="s">
        <v>456</v>
      </c>
      <c r="I117" s="14" t="s">
        <v>66</v>
      </c>
      <c r="J117" s="14" t="s">
        <v>53</v>
      </c>
      <c r="K117" s="14" t="s">
        <v>298</v>
      </c>
      <c r="L117" s="14" t="s">
        <v>53</v>
      </c>
      <c r="M117" s="11">
        <f t="shared" si="1"/>
        <v>7</v>
      </c>
      <c r="N117" s="12" t="str">
        <f t="shared" si="2"/>
        <v>ALTA</v>
      </c>
    </row>
    <row r="118" ht="22.5" customHeight="1">
      <c r="A118" s="4" t="s">
        <v>30</v>
      </c>
      <c r="B118" s="4">
        <v>2023.0</v>
      </c>
      <c r="C118" s="4" t="s">
        <v>33</v>
      </c>
      <c r="D118" s="4" t="s">
        <v>457</v>
      </c>
      <c r="E118" s="4" t="str">
        <f>IFERROR(VLOOKUP(G118, 'Padronização'!A:C, 2, FALSE), "")</f>
        <v>✅</v>
      </c>
      <c r="F118" s="23" t="str">
        <f>IFERROR(VLOOKUP(G118, 'Padronização'!A:C, 3, FALSE), "")</f>
        <v>ABM/MAS aplicado à evacuação</v>
      </c>
      <c r="G118" s="13" t="s">
        <v>45</v>
      </c>
      <c r="H118" s="24" t="s">
        <v>204</v>
      </c>
      <c r="I118" s="14" t="s">
        <v>66</v>
      </c>
      <c r="J118" s="14" t="s">
        <v>53</v>
      </c>
      <c r="K118" s="14" t="s">
        <v>82</v>
      </c>
      <c r="L118" s="14" t="s">
        <v>53</v>
      </c>
      <c r="M118" s="11">
        <f t="shared" si="1"/>
        <v>7</v>
      </c>
      <c r="N118" s="12" t="str">
        <f t="shared" si="2"/>
        <v>ALTA</v>
      </c>
    </row>
    <row r="119" ht="22.5" customHeight="1">
      <c r="A119" s="4" t="s">
        <v>30</v>
      </c>
      <c r="B119" s="4">
        <v>2023.0</v>
      </c>
      <c r="C119" s="4" t="s">
        <v>33</v>
      </c>
      <c r="D119" s="4" t="s">
        <v>460</v>
      </c>
      <c r="E119" s="4" t="str">
        <f>IFERROR(VLOOKUP(G119, 'Padronização'!A:C, 2, FALSE), "")</f>
        <v>✅</v>
      </c>
      <c r="F119" s="23" t="str">
        <f>IFERROR(VLOOKUP(G119, 'Padronização'!A:C, 3, FALSE), "")</f>
        <v>Grupos vulneráveis em cenários de crise</v>
      </c>
      <c r="G119" s="13" t="s">
        <v>54</v>
      </c>
      <c r="H119" s="24" t="s">
        <v>204</v>
      </c>
      <c r="I119" s="14" t="s">
        <v>66</v>
      </c>
      <c r="J119" s="14" t="s">
        <v>100</v>
      </c>
      <c r="K119" s="14" t="s">
        <v>68</v>
      </c>
      <c r="L119" s="14" t="s">
        <v>53</v>
      </c>
      <c r="M119" s="11">
        <f t="shared" si="1"/>
        <v>6</v>
      </c>
      <c r="N119" s="12" t="str">
        <f t="shared" si="2"/>
        <v>ALTA</v>
      </c>
    </row>
    <row r="120" ht="22.5" customHeight="1">
      <c r="A120" s="4" t="s">
        <v>30</v>
      </c>
      <c r="B120" s="4">
        <v>2023.0</v>
      </c>
      <c r="C120" s="4" t="s">
        <v>33</v>
      </c>
      <c r="D120" s="22" t="s">
        <v>464</v>
      </c>
      <c r="E120" s="4" t="str">
        <f>IFERROR(VLOOKUP(G120, 'Padronização'!A:C, 2, FALSE), "")</f>
        <v>✅</v>
      </c>
      <c r="F120" s="23" t="str">
        <f>IFERROR(VLOOKUP(G120, 'Padronização'!A:C, 3, FALSE), "")</f>
        <v>ABM/MAS focado em comportamento humano cognitivo</v>
      </c>
      <c r="G120" s="4" t="s">
        <v>47</v>
      </c>
      <c r="H120" s="24" t="s">
        <v>110</v>
      </c>
      <c r="I120" s="14" t="s">
        <v>66</v>
      </c>
      <c r="J120" s="14" t="s">
        <v>100</v>
      </c>
      <c r="K120" s="14" t="s">
        <v>298</v>
      </c>
      <c r="L120" s="14" t="s">
        <v>53</v>
      </c>
      <c r="M120" s="11">
        <f t="shared" si="1"/>
        <v>6</v>
      </c>
      <c r="N120" s="12" t="str">
        <f t="shared" si="2"/>
        <v>ALTA</v>
      </c>
    </row>
    <row r="121" ht="22.5" customHeight="1">
      <c r="A121" s="4" t="s">
        <v>30</v>
      </c>
      <c r="B121" s="4">
        <v>2023.0</v>
      </c>
      <c r="C121" s="4" t="s">
        <v>33</v>
      </c>
      <c r="D121" s="4" t="s">
        <v>467</v>
      </c>
      <c r="E121" s="4" t="str">
        <f>IFERROR(VLOOKUP(G121, 'Padronização'!A:C, 2, FALSE), "")</f>
        <v>✅</v>
      </c>
      <c r="F121" s="23" t="str">
        <f>IFERROR(VLOOKUP(G121, 'Padronização'!A:C, 3, FALSE), "")</f>
        <v>ABM/MAS focado em comportamento humano cognitivo</v>
      </c>
      <c r="G121" s="4" t="s">
        <v>47</v>
      </c>
      <c r="H121" s="24" t="s">
        <v>115</v>
      </c>
      <c r="I121" s="12"/>
      <c r="J121" s="12"/>
      <c r="K121" s="12"/>
      <c r="L121" s="14" t="s">
        <v>61</v>
      </c>
      <c r="M121" s="11">
        <f t="shared" si="1"/>
        <v>-10</v>
      </c>
      <c r="N121" s="12" t="str">
        <f t="shared" si="2"/>
        <v>EXCLUIR</v>
      </c>
    </row>
    <row r="122" ht="22.5" customHeight="1">
      <c r="A122" s="4" t="s">
        <v>30</v>
      </c>
      <c r="B122" s="4">
        <v>2023.0</v>
      </c>
      <c r="C122" s="4" t="s">
        <v>33</v>
      </c>
      <c r="D122" s="4" t="s">
        <v>472</v>
      </c>
      <c r="E122" s="4" t="str">
        <f>IFERROR(VLOOKUP(G122, 'Padronização'!A:C, 2, FALSE), "")</f>
        <v>✅</v>
      </c>
      <c r="F122" s="23" t="str">
        <f>IFERROR(VLOOKUP(G122, 'Padronização'!A:C, 3, FALSE), "")</f>
        <v>ABM/MAS aplicado à evacuação</v>
      </c>
      <c r="G122" s="4" t="s">
        <v>45</v>
      </c>
      <c r="H122" s="24" t="s">
        <v>180</v>
      </c>
      <c r="I122" s="14" t="s">
        <v>51</v>
      </c>
      <c r="J122" s="14" t="s">
        <v>100</v>
      </c>
      <c r="K122" s="14" t="s">
        <v>68</v>
      </c>
      <c r="L122" s="14" t="s">
        <v>53</v>
      </c>
      <c r="M122" s="11">
        <f t="shared" si="1"/>
        <v>8</v>
      </c>
      <c r="N122" s="12" t="str">
        <f t="shared" si="2"/>
        <v>ALTÍSSIMA</v>
      </c>
    </row>
    <row r="123" ht="22.5" customHeight="1">
      <c r="A123" s="4" t="s">
        <v>30</v>
      </c>
      <c r="B123" s="4">
        <v>2023.0</v>
      </c>
      <c r="C123" s="4" t="s">
        <v>33</v>
      </c>
      <c r="D123" s="4" t="s">
        <v>475</v>
      </c>
      <c r="E123" s="4" t="str">
        <f>IFERROR(VLOOKUP(G123, 'Padronização'!A:C, 2, FALSE), "")</f>
        <v>✅</v>
      </c>
      <c r="F123" s="23" t="str">
        <f>IFERROR(VLOOKUP(G123, 'Padronização'!A:C, 3, FALSE), "")</f>
        <v>ABM/MAS aplicado à evacuação</v>
      </c>
      <c r="G123" s="4" t="s">
        <v>45</v>
      </c>
      <c r="H123" s="24" t="s">
        <v>115</v>
      </c>
      <c r="I123" s="12"/>
      <c r="J123" s="12"/>
      <c r="K123" s="12"/>
      <c r="L123" s="14" t="s">
        <v>61</v>
      </c>
      <c r="M123" s="11">
        <f t="shared" si="1"/>
        <v>-10</v>
      </c>
      <c r="N123" s="12" t="str">
        <f t="shared" si="2"/>
        <v>EXCLUIR</v>
      </c>
    </row>
    <row r="124" ht="22.5" customHeight="1">
      <c r="A124" s="4" t="s">
        <v>30</v>
      </c>
      <c r="B124" s="4">
        <v>2023.0</v>
      </c>
      <c r="C124" s="4" t="s">
        <v>33</v>
      </c>
      <c r="D124" s="4" t="s">
        <v>478</v>
      </c>
      <c r="E124" s="4" t="str">
        <f>IFERROR(VLOOKUP(G124, 'Padronização'!A:C, 2, FALSE), "")</f>
        <v>✅</v>
      </c>
      <c r="F124" s="23" t="str">
        <f>IFERROR(VLOOKUP(G124, 'Padronização'!A:C, 3, FALSE), "")</f>
        <v>ABM/MAS focado em comportamento humano cognitivo</v>
      </c>
      <c r="G124" s="4" t="s">
        <v>47</v>
      </c>
      <c r="H124" s="24" t="s">
        <v>154</v>
      </c>
      <c r="I124" s="14" t="s">
        <v>51</v>
      </c>
      <c r="J124" s="14" t="s">
        <v>53</v>
      </c>
      <c r="K124" s="14" t="s">
        <v>94</v>
      </c>
      <c r="L124" s="14" t="s">
        <v>53</v>
      </c>
      <c r="M124" s="11">
        <f t="shared" si="1"/>
        <v>7</v>
      </c>
      <c r="N124" s="12" t="str">
        <f t="shared" si="2"/>
        <v>ALTA</v>
      </c>
    </row>
    <row r="125" ht="22.5" customHeight="1">
      <c r="A125" s="4" t="s">
        <v>30</v>
      </c>
      <c r="B125" s="4">
        <v>2023.0</v>
      </c>
      <c r="C125" s="4" t="s">
        <v>33</v>
      </c>
      <c r="D125" s="4" t="s">
        <v>139</v>
      </c>
      <c r="E125" s="4" t="str">
        <f>IFERROR(VLOOKUP(G125, 'Padronização'!A:C, 2, FALSE), "")</f>
        <v>✅</v>
      </c>
      <c r="F125" s="23" t="str">
        <f>IFERROR(VLOOKUP(G125, 'Padronização'!A:C, 3, FALSE), "")</f>
        <v>ABM/MAS aplicado à evacuação</v>
      </c>
      <c r="G125" s="4" t="s">
        <v>45</v>
      </c>
      <c r="H125" s="24" t="s">
        <v>49</v>
      </c>
      <c r="I125" s="14" t="s">
        <v>51</v>
      </c>
      <c r="J125" s="14" t="s">
        <v>53</v>
      </c>
      <c r="K125" s="14" t="s">
        <v>94</v>
      </c>
      <c r="L125" s="14" t="s">
        <v>53</v>
      </c>
      <c r="M125" s="11">
        <f t="shared" si="1"/>
        <v>7</v>
      </c>
      <c r="N125" s="12" t="str">
        <f t="shared" si="2"/>
        <v>ALTA</v>
      </c>
    </row>
    <row r="126" ht="22.5" customHeight="1">
      <c r="A126" s="4" t="s">
        <v>30</v>
      </c>
      <c r="B126" s="4">
        <v>2023.0</v>
      </c>
      <c r="C126" s="4" t="s">
        <v>33</v>
      </c>
      <c r="D126" s="22" t="s">
        <v>483</v>
      </c>
      <c r="E126" s="4" t="str">
        <f>IFERROR(VLOOKUP(G126, 'Padronização'!A:C, 2, FALSE), "")</f>
        <v>✅</v>
      </c>
      <c r="F126" s="23" t="str">
        <f>IFERROR(VLOOKUP(G126, 'Padronização'!A:C, 3, FALSE), "")</f>
        <v>ABM/MAS aplicado à evacuação</v>
      </c>
      <c r="G126" s="4" t="s">
        <v>45</v>
      </c>
      <c r="H126" s="24" t="s">
        <v>65</v>
      </c>
      <c r="I126" s="14" t="s">
        <v>66</v>
      </c>
      <c r="J126" s="14" t="s">
        <v>100</v>
      </c>
      <c r="K126" s="14" t="s">
        <v>67</v>
      </c>
      <c r="L126" s="14" t="s">
        <v>53</v>
      </c>
      <c r="M126" s="11">
        <f t="shared" si="1"/>
        <v>6</v>
      </c>
      <c r="N126" s="12" t="str">
        <f t="shared" si="2"/>
        <v>ALTA</v>
      </c>
    </row>
    <row r="127" ht="22.5" customHeight="1">
      <c r="A127" s="4" t="s">
        <v>30</v>
      </c>
      <c r="B127" s="4">
        <v>2023.0</v>
      </c>
      <c r="C127" s="4" t="s">
        <v>33</v>
      </c>
      <c r="D127" s="4" t="s">
        <v>485</v>
      </c>
      <c r="E127" s="4" t="str">
        <f>IFERROR(VLOOKUP(G127, 'Padronização'!A:C, 2, FALSE), "")</f>
        <v>✅</v>
      </c>
      <c r="F127" s="23" t="str">
        <f>IFERROR(VLOOKUP(G127, 'Padronização'!A:C, 3, FALSE), "")</f>
        <v>ABM/MAS aplicado à evacuação</v>
      </c>
      <c r="G127" s="4" t="s">
        <v>45</v>
      </c>
      <c r="H127" s="24" t="s">
        <v>65</v>
      </c>
      <c r="I127" s="14" t="s">
        <v>66</v>
      </c>
      <c r="J127" s="14" t="s">
        <v>100</v>
      </c>
      <c r="K127" s="14" t="s">
        <v>68</v>
      </c>
      <c r="L127" s="14" t="s">
        <v>53</v>
      </c>
      <c r="M127" s="11">
        <f t="shared" si="1"/>
        <v>6</v>
      </c>
      <c r="N127" s="12" t="str">
        <f t="shared" si="2"/>
        <v>ALTA</v>
      </c>
    </row>
    <row r="128" ht="22.5" customHeight="1">
      <c r="A128" s="4" t="s">
        <v>30</v>
      </c>
      <c r="B128" s="4">
        <v>2023.0</v>
      </c>
      <c r="C128" s="4" t="s">
        <v>33</v>
      </c>
      <c r="D128" s="4" t="s">
        <v>487</v>
      </c>
      <c r="E128" s="4" t="str">
        <f>IFERROR(VLOOKUP(G128, 'Padronização'!A:C, 2, FALSE), "")</f>
        <v>✅</v>
      </c>
      <c r="F128" s="23" t="str">
        <f>IFERROR(VLOOKUP(G128, 'Padronização'!A:C, 3, FALSE), "")</f>
        <v>Resposta humana a alertas e decisões</v>
      </c>
      <c r="G128" s="4" t="s">
        <v>50</v>
      </c>
      <c r="H128" s="24" t="s">
        <v>286</v>
      </c>
      <c r="I128" s="14" t="s">
        <v>51</v>
      </c>
      <c r="J128" s="14" t="s">
        <v>53</v>
      </c>
      <c r="K128" s="14" t="s">
        <v>94</v>
      </c>
      <c r="L128" s="14" t="s">
        <v>53</v>
      </c>
      <c r="M128" s="11">
        <f t="shared" si="1"/>
        <v>7</v>
      </c>
      <c r="N128" s="12" t="str">
        <f t="shared" si="2"/>
        <v>ALTA</v>
      </c>
    </row>
    <row r="129" ht="22.5" customHeight="1">
      <c r="A129" s="4" t="s">
        <v>30</v>
      </c>
      <c r="B129" s="4">
        <v>2023.0</v>
      </c>
      <c r="C129" s="4" t="s">
        <v>33</v>
      </c>
      <c r="D129" s="4" t="s">
        <v>489</v>
      </c>
      <c r="E129" s="4" t="str">
        <f>IFERROR(VLOOKUP(G129, 'Padronização'!A:C, 2, FALSE), "")</f>
        <v>✅</v>
      </c>
      <c r="F129" s="23" t="str">
        <f>IFERROR(VLOOKUP(G129, 'Padronização'!A:C, 3, FALSE), "")</f>
        <v>ABM/MAS focado em comportamento humano cognitivo</v>
      </c>
      <c r="G129" s="4" t="s">
        <v>47</v>
      </c>
      <c r="H129" s="24" t="s">
        <v>286</v>
      </c>
      <c r="I129" s="14" t="s">
        <v>51</v>
      </c>
      <c r="J129" s="14" t="s">
        <v>53</v>
      </c>
      <c r="K129" s="14" t="s">
        <v>94</v>
      </c>
      <c r="L129" s="14" t="s">
        <v>53</v>
      </c>
      <c r="M129" s="11">
        <f t="shared" si="1"/>
        <v>7</v>
      </c>
      <c r="N129" s="12" t="str">
        <f t="shared" si="2"/>
        <v>ALTA</v>
      </c>
    </row>
    <row r="130" ht="22.5" customHeight="1">
      <c r="A130" s="4" t="s">
        <v>30</v>
      </c>
      <c r="B130" s="4">
        <v>2023.0</v>
      </c>
      <c r="C130" s="4" t="s">
        <v>33</v>
      </c>
      <c r="D130" s="4" t="s">
        <v>491</v>
      </c>
      <c r="E130" s="4" t="str">
        <f>IFERROR(VLOOKUP(G130, 'Padronização'!A:C, 2, FALSE), "")</f>
        <v>✅</v>
      </c>
      <c r="F130" s="23" t="str">
        <f>IFERROR(VLOOKUP(G130, 'Padronização'!A:C, 3, FALSE), "")</f>
        <v>ABM/MAS aplicado à evacuação</v>
      </c>
      <c r="G130" s="4" t="s">
        <v>45</v>
      </c>
      <c r="H130" s="24" t="s">
        <v>49</v>
      </c>
      <c r="I130" s="14" t="s">
        <v>51</v>
      </c>
      <c r="J130" s="14" t="s">
        <v>100</v>
      </c>
      <c r="K130" s="14" t="s">
        <v>68</v>
      </c>
      <c r="L130" s="14" t="s">
        <v>53</v>
      </c>
      <c r="M130" s="11">
        <f t="shared" si="1"/>
        <v>8</v>
      </c>
      <c r="N130" s="12" t="str">
        <f t="shared" si="2"/>
        <v>ALTÍSSIMA</v>
      </c>
    </row>
    <row r="131" ht="22.5" customHeight="1">
      <c r="A131" s="4" t="s">
        <v>30</v>
      </c>
      <c r="B131" s="4">
        <v>2023.0</v>
      </c>
      <c r="C131" s="4" t="s">
        <v>33</v>
      </c>
      <c r="D131" s="4" t="s">
        <v>494</v>
      </c>
      <c r="E131" s="4" t="str">
        <f>IFERROR(VLOOKUP(G131, 'Padronização'!A:C, 2, FALSE), "")</f>
        <v>✅</v>
      </c>
      <c r="F131" s="23" t="str">
        <f>IFERROR(VLOOKUP(G131, 'Padronização'!A:C, 3, FALSE), "")</f>
        <v>Grupos vulneráveis em cenários de crise</v>
      </c>
      <c r="G131" s="13" t="s">
        <v>54</v>
      </c>
      <c r="H131" s="24" t="s">
        <v>204</v>
      </c>
      <c r="I131" s="14" t="s">
        <v>66</v>
      </c>
      <c r="J131" s="14" t="s">
        <v>53</v>
      </c>
      <c r="K131" s="14" t="s">
        <v>94</v>
      </c>
      <c r="L131" s="14" t="s">
        <v>53</v>
      </c>
      <c r="M131" s="11">
        <f t="shared" si="1"/>
        <v>5</v>
      </c>
      <c r="N131" s="12" t="str">
        <f t="shared" si="2"/>
        <v>MÉDIA</v>
      </c>
    </row>
    <row r="132" ht="22.5" customHeight="1">
      <c r="A132" s="4" t="s">
        <v>30</v>
      </c>
      <c r="B132" s="4">
        <v>2023.0</v>
      </c>
      <c r="C132" s="4" t="s">
        <v>33</v>
      </c>
      <c r="D132" s="4" t="s">
        <v>497</v>
      </c>
      <c r="E132" s="4" t="str">
        <f>IFERROR(VLOOKUP(G132, 'Padronização'!A:C, 2, FALSE), "")</f>
        <v>✅</v>
      </c>
      <c r="F132" s="23" t="str">
        <f>IFERROR(VLOOKUP(G132, 'Padronização'!A:C, 3, FALSE), "")</f>
        <v>Resposta humana a alertas e decisões</v>
      </c>
      <c r="G132" s="4" t="s">
        <v>50</v>
      </c>
      <c r="H132" s="24" t="s">
        <v>65</v>
      </c>
      <c r="I132" s="14" t="s">
        <v>51</v>
      </c>
      <c r="J132" s="14" t="s">
        <v>53</v>
      </c>
      <c r="K132" s="14" t="s">
        <v>94</v>
      </c>
      <c r="L132" s="14" t="s">
        <v>53</v>
      </c>
      <c r="M132" s="11">
        <f t="shared" si="1"/>
        <v>7</v>
      </c>
      <c r="N132" s="12" t="str">
        <f t="shared" si="2"/>
        <v>ALTA</v>
      </c>
    </row>
    <row r="133" ht="22.5" customHeight="1">
      <c r="A133" s="4" t="s">
        <v>30</v>
      </c>
      <c r="B133" s="4">
        <v>2023.0</v>
      </c>
      <c r="C133" s="4" t="s">
        <v>33</v>
      </c>
      <c r="D133" s="4" t="s">
        <v>500</v>
      </c>
      <c r="E133" s="4" t="str">
        <f>IFERROR(VLOOKUP(G133, 'Padronização'!A:C, 2, FALSE), "")</f>
        <v>✅</v>
      </c>
      <c r="F133" s="23" t="str">
        <f>IFERROR(VLOOKUP(G133, 'Padronização'!A:C, 3, FALSE), "")</f>
        <v>ABM/MAS aplicado à evacuação</v>
      </c>
      <c r="G133" s="4" t="s">
        <v>45</v>
      </c>
      <c r="H133" s="24" t="s">
        <v>65</v>
      </c>
      <c r="I133" s="14" t="s">
        <v>51</v>
      </c>
      <c r="J133" s="14" t="s">
        <v>100</v>
      </c>
      <c r="K133" s="14" t="s">
        <v>94</v>
      </c>
      <c r="L133" s="14" t="s">
        <v>53</v>
      </c>
      <c r="M133" s="11">
        <f t="shared" si="1"/>
        <v>6</v>
      </c>
      <c r="N133" s="12" t="str">
        <f t="shared" si="2"/>
        <v>ALTA</v>
      </c>
    </row>
    <row r="134" ht="22.5" customHeight="1">
      <c r="A134" s="4" t="s">
        <v>30</v>
      </c>
      <c r="B134" s="4">
        <v>2023.0</v>
      </c>
      <c r="C134" s="4" t="s">
        <v>87</v>
      </c>
      <c r="D134" s="4" t="s">
        <v>504</v>
      </c>
      <c r="E134" s="4" t="str">
        <f>IFERROR(VLOOKUP(G134, 'Padronização'!A:C, 2, FALSE), "")</f>
        <v>✅</v>
      </c>
      <c r="F134" s="23" t="str">
        <f>IFERROR(VLOOKUP(G134, 'Padronização'!A:C, 3, FALSE), "")</f>
        <v>ABM/MAS aplicado à evacuação</v>
      </c>
      <c r="G134" s="13" t="s">
        <v>45</v>
      </c>
      <c r="H134" s="24" t="s">
        <v>115</v>
      </c>
      <c r="I134" s="12"/>
      <c r="J134" s="12"/>
      <c r="K134" s="12"/>
      <c r="L134" s="14" t="s">
        <v>61</v>
      </c>
      <c r="M134" s="11">
        <f t="shared" si="1"/>
        <v>-10</v>
      </c>
      <c r="N134" s="12" t="str">
        <f t="shared" si="2"/>
        <v>EXCLUIR</v>
      </c>
    </row>
    <row r="135" ht="22.5" customHeight="1">
      <c r="A135" s="4" t="s">
        <v>30</v>
      </c>
      <c r="B135" s="4">
        <v>2023.0</v>
      </c>
      <c r="C135" s="4" t="s">
        <v>87</v>
      </c>
      <c r="D135" s="4" t="s">
        <v>507</v>
      </c>
      <c r="E135" s="4" t="str">
        <f>IFERROR(VLOOKUP(G135, 'Padronização'!A:C, 2, FALSE), "")</f>
        <v>✅</v>
      </c>
      <c r="F135" s="23" t="str">
        <f>IFERROR(VLOOKUP(G135, 'Padronização'!A:C, 3, FALSE), "")</f>
        <v>Resposta humana a alertas e decisões</v>
      </c>
      <c r="G135" s="4" t="s">
        <v>50</v>
      </c>
      <c r="H135" s="24" t="s">
        <v>115</v>
      </c>
      <c r="I135" s="12"/>
      <c r="J135" s="12"/>
      <c r="K135" s="12"/>
      <c r="L135" s="14" t="s">
        <v>61</v>
      </c>
      <c r="M135" s="11">
        <f t="shared" si="1"/>
        <v>-10</v>
      </c>
      <c r="N135" s="12" t="str">
        <f t="shared" si="2"/>
        <v>EXCLUIR</v>
      </c>
    </row>
    <row r="136" ht="22.5" customHeight="1">
      <c r="A136" s="4" t="s">
        <v>30</v>
      </c>
      <c r="B136" s="4">
        <v>2023.0</v>
      </c>
      <c r="C136" s="4" t="s">
        <v>87</v>
      </c>
      <c r="D136" s="4" t="s">
        <v>510</v>
      </c>
      <c r="E136" s="4" t="str">
        <f>IFERROR(VLOOKUP(G136, 'Padronização'!A:C, 2, FALSE), "")</f>
        <v>✅</v>
      </c>
      <c r="F136" s="23" t="str">
        <f>IFERROR(VLOOKUP(G136, 'Padronização'!A:C, 3, FALSE), "")</f>
        <v>ABM/MAS aplicado à evacuação</v>
      </c>
      <c r="G136" s="13" t="s">
        <v>45</v>
      </c>
      <c r="H136" s="24" t="s">
        <v>110</v>
      </c>
      <c r="I136" s="14" t="s">
        <v>66</v>
      </c>
      <c r="J136" s="14" t="s">
        <v>100</v>
      </c>
      <c r="K136" s="14" t="s">
        <v>68</v>
      </c>
      <c r="L136" s="14" t="s">
        <v>53</v>
      </c>
      <c r="M136" s="11">
        <f t="shared" si="1"/>
        <v>6</v>
      </c>
      <c r="N136" s="12" t="str">
        <f t="shared" si="2"/>
        <v>ALTA</v>
      </c>
    </row>
    <row r="137" ht="22.5" customHeight="1">
      <c r="A137" s="4" t="s">
        <v>30</v>
      </c>
      <c r="B137" s="4">
        <v>2023.0</v>
      </c>
      <c r="C137" s="4" t="s">
        <v>87</v>
      </c>
      <c r="D137" s="4" t="s">
        <v>512</v>
      </c>
      <c r="E137" s="4" t="str">
        <f>IFERROR(VLOOKUP(G137, 'Padronização'!A:C, 2, FALSE), "")</f>
        <v>✅</v>
      </c>
      <c r="F137" s="23" t="str">
        <f>IFERROR(VLOOKUP(G137, 'Padronização'!A:C, 3, FALSE), "")</f>
        <v>ABM/MAS aplicado à evacuação</v>
      </c>
      <c r="G137" s="4" t="s">
        <v>45</v>
      </c>
      <c r="H137" s="24" t="s">
        <v>115</v>
      </c>
      <c r="I137" s="12"/>
      <c r="J137" s="12"/>
      <c r="K137" s="12"/>
      <c r="L137" s="14" t="s">
        <v>61</v>
      </c>
      <c r="M137" s="11">
        <f t="shared" si="1"/>
        <v>-10</v>
      </c>
      <c r="N137" s="12" t="str">
        <f t="shared" si="2"/>
        <v>EXCLUIR</v>
      </c>
    </row>
    <row r="138" ht="22.5" customHeight="1">
      <c r="A138" s="4" t="s">
        <v>30</v>
      </c>
      <c r="B138" s="4">
        <v>2023.0</v>
      </c>
      <c r="C138" s="4" t="s">
        <v>33</v>
      </c>
      <c r="D138" s="4" t="s">
        <v>515</v>
      </c>
      <c r="E138" s="4" t="str">
        <f>IFERROR(VLOOKUP(G138, 'Padronização'!A:C, 2, FALSE), "")</f>
        <v>✅</v>
      </c>
      <c r="F138" s="23" t="str">
        <f>IFERROR(VLOOKUP(G138, 'Padronização'!A:C, 3, FALSE), "")</f>
        <v>ABM/MAS aplicado à evacuação</v>
      </c>
      <c r="G138" s="4" t="s">
        <v>45</v>
      </c>
      <c r="H138" s="24" t="s">
        <v>125</v>
      </c>
      <c r="I138" s="14" t="s">
        <v>51</v>
      </c>
      <c r="J138" s="14" t="s">
        <v>100</v>
      </c>
      <c r="K138" s="14" t="s">
        <v>94</v>
      </c>
      <c r="L138" s="14" t="s">
        <v>53</v>
      </c>
      <c r="M138" s="11">
        <f t="shared" si="1"/>
        <v>6</v>
      </c>
      <c r="N138" s="12" t="str">
        <f t="shared" si="2"/>
        <v>ALTA</v>
      </c>
    </row>
    <row r="139" ht="22.5" customHeight="1">
      <c r="A139" s="4" t="s">
        <v>30</v>
      </c>
      <c r="B139" s="4">
        <v>2023.0</v>
      </c>
      <c r="C139" s="4" t="s">
        <v>87</v>
      </c>
      <c r="D139" s="4" t="s">
        <v>518</v>
      </c>
      <c r="E139" s="4" t="str">
        <f>IFERROR(VLOOKUP(G139, 'Padronização'!A:C, 2, FALSE), "")</f>
        <v>✅</v>
      </c>
      <c r="F139" s="23" t="str">
        <f>IFERROR(VLOOKUP(G139, 'Padronização'!A:C, 3, FALSE), "")</f>
        <v>ABM/MAS aplicado à evacuação</v>
      </c>
      <c r="G139" s="4" t="s">
        <v>45</v>
      </c>
      <c r="H139" s="24" t="s">
        <v>110</v>
      </c>
      <c r="I139" s="14" t="s">
        <v>66</v>
      </c>
      <c r="J139" s="14" t="s">
        <v>100</v>
      </c>
      <c r="K139" s="14" t="s">
        <v>94</v>
      </c>
      <c r="L139" s="14" t="s">
        <v>53</v>
      </c>
      <c r="M139" s="11">
        <f t="shared" si="1"/>
        <v>4</v>
      </c>
      <c r="N139" s="12" t="str">
        <f t="shared" si="2"/>
        <v>MÉDIA</v>
      </c>
    </row>
    <row r="140" ht="22.5" customHeight="1">
      <c r="A140" s="4" t="s">
        <v>30</v>
      </c>
      <c r="B140" s="4">
        <v>2023.0</v>
      </c>
      <c r="C140" s="4" t="s">
        <v>87</v>
      </c>
      <c r="D140" s="4" t="s">
        <v>521</v>
      </c>
      <c r="E140" s="4" t="str">
        <f>IFERROR(VLOOKUP(G140, 'Padronização'!A:C, 2, FALSE), "")</f>
        <v>✅</v>
      </c>
      <c r="F140" s="23" t="str">
        <f>IFERROR(VLOOKUP(G140, 'Padronização'!A:C, 3, FALSE), "")</f>
        <v>ABM/MAS aplicado à evacuação</v>
      </c>
      <c r="G140" s="4" t="s">
        <v>45</v>
      </c>
      <c r="H140" s="24" t="s">
        <v>65</v>
      </c>
      <c r="I140" s="14" t="s">
        <v>66</v>
      </c>
      <c r="J140" s="14" t="s">
        <v>100</v>
      </c>
      <c r="K140" s="14" t="s">
        <v>524</v>
      </c>
      <c r="L140" s="14" t="s">
        <v>53</v>
      </c>
      <c r="M140" s="11">
        <f t="shared" si="1"/>
        <v>6</v>
      </c>
      <c r="N140" s="12" t="str">
        <f t="shared" si="2"/>
        <v>ALTA</v>
      </c>
    </row>
    <row r="141" ht="22.5" customHeight="1">
      <c r="A141" s="4" t="s">
        <v>30</v>
      </c>
      <c r="B141" s="4">
        <v>2023.0</v>
      </c>
      <c r="C141" s="4" t="s">
        <v>87</v>
      </c>
      <c r="D141" s="4" t="s">
        <v>526</v>
      </c>
      <c r="E141" s="4" t="str">
        <f>IFERROR(VLOOKUP(G141, 'Padronização'!A:C, 2, FALSE), "")</f>
        <v>✅</v>
      </c>
      <c r="F141" s="23" t="str">
        <f>IFERROR(VLOOKUP(G141, 'Padronização'!A:C, 3, FALSE), "")</f>
        <v>ABM/MAS focado em comportamento humano cognitivo</v>
      </c>
      <c r="G141" s="13" t="s">
        <v>47</v>
      </c>
      <c r="H141" s="24" t="s">
        <v>65</v>
      </c>
      <c r="I141" s="14" t="s">
        <v>66</v>
      </c>
      <c r="J141" s="14" t="s">
        <v>53</v>
      </c>
      <c r="K141" s="14" t="s">
        <v>68</v>
      </c>
      <c r="L141" s="14" t="s">
        <v>53</v>
      </c>
      <c r="M141" s="11">
        <f t="shared" si="1"/>
        <v>7</v>
      </c>
      <c r="N141" s="12" t="str">
        <f t="shared" si="2"/>
        <v>ALTA</v>
      </c>
    </row>
    <row r="142" ht="22.5" customHeight="1">
      <c r="A142" s="4" t="s">
        <v>30</v>
      </c>
      <c r="B142" s="4">
        <v>2023.0</v>
      </c>
      <c r="C142" s="4" t="s">
        <v>87</v>
      </c>
      <c r="D142" s="4" t="s">
        <v>530</v>
      </c>
      <c r="E142" s="4" t="str">
        <f>IFERROR(VLOOKUP(G142, 'Padronização'!A:C, 2, FALSE), "")</f>
        <v>✅</v>
      </c>
      <c r="F142" s="23" t="str">
        <f>IFERROR(VLOOKUP(G142, 'Padronização'!A:C, 3, FALSE), "")</f>
        <v>ABM/MAS focado em comportamento humano cognitivo</v>
      </c>
      <c r="G142" s="4" t="s">
        <v>47</v>
      </c>
      <c r="H142" s="24" t="s">
        <v>115</v>
      </c>
      <c r="I142" s="12"/>
      <c r="J142" s="12"/>
      <c r="K142" s="12"/>
      <c r="L142" s="14" t="s">
        <v>61</v>
      </c>
      <c r="M142" s="11">
        <f t="shared" si="1"/>
        <v>-10</v>
      </c>
      <c r="N142" s="12" t="str">
        <f t="shared" si="2"/>
        <v>EXCLUIR</v>
      </c>
    </row>
    <row r="143" ht="22.5" customHeight="1">
      <c r="A143" s="4" t="s">
        <v>30</v>
      </c>
      <c r="B143" s="4">
        <v>2023.0</v>
      </c>
      <c r="C143" s="4" t="s">
        <v>87</v>
      </c>
      <c r="D143" s="4" t="s">
        <v>532</v>
      </c>
      <c r="E143" s="4" t="str">
        <f>IFERROR(VLOOKUP(G143, 'Padronização'!A:C, 2, FALSE), "")</f>
        <v>✅</v>
      </c>
      <c r="F143" s="23" t="str">
        <f>IFERROR(VLOOKUP(G143, 'Padronização'!A:C, 3, FALSE), "")</f>
        <v>ABM/MAS focado em comportamento humano cognitivo</v>
      </c>
      <c r="G143" s="13" t="s">
        <v>47</v>
      </c>
      <c r="H143" s="24" t="s">
        <v>65</v>
      </c>
      <c r="I143" s="14" t="s">
        <v>66</v>
      </c>
      <c r="J143" s="14" t="s">
        <v>53</v>
      </c>
      <c r="K143" s="14" t="s">
        <v>83</v>
      </c>
      <c r="L143" s="14" t="s">
        <v>53</v>
      </c>
      <c r="M143" s="11">
        <f t="shared" si="1"/>
        <v>5</v>
      </c>
      <c r="N143" s="12" t="str">
        <f t="shared" si="2"/>
        <v>MÉDIA</v>
      </c>
    </row>
    <row r="144" ht="22.5" customHeight="1">
      <c r="A144" s="4" t="s">
        <v>30</v>
      </c>
      <c r="B144" s="4">
        <v>2023.0</v>
      </c>
      <c r="C144" s="4" t="s">
        <v>87</v>
      </c>
      <c r="D144" s="4" t="s">
        <v>536</v>
      </c>
      <c r="E144" s="4" t="str">
        <f>IFERROR(VLOOKUP(G144, 'Padronização'!A:C, 2, FALSE), "")</f>
        <v>✅</v>
      </c>
      <c r="F144" s="23" t="str">
        <f>IFERROR(VLOOKUP(G144, 'Padronização'!A:C, 3, FALSE), "")</f>
        <v>Resposta humana a alertas e decisões</v>
      </c>
      <c r="G144" s="4" t="s">
        <v>50</v>
      </c>
      <c r="H144" s="24" t="s">
        <v>115</v>
      </c>
      <c r="I144" s="12"/>
      <c r="J144" s="12"/>
      <c r="K144" s="12"/>
      <c r="L144" s="14" t="s">
        <v>61</v>
      </c>
      <c r="M144" s="11">
        <f t="shared" si="1"/>
        <v>-10</v>
      </c>
      <c r="N144" s="12" t="str">
        <f t="shared" si="2"/>
        <v>EXCLUIR</v>
      </c>
    </row>
    <row r="145" ht="22.5" customHeight="1">
      <c r="A145" s="4" t="s">
        <v>30</v>
      </c>
      <c r="B145" s="4">
        <v>2023.0</v>
      </c>
      <c r="C145" s="4" t="s">
        <v>87</v>
      </c>
      <c r="D145" s="4" t="s">
        <v>539</v>
      </c>
      <c r="E145" s="4" t="str">
        <f>IFERROR(VLOOKUP(G145, 'Padronização'!A:C, 2, FALSE), "")</f>
        <v>✅</v>
      </c>
      <c r="F145" s="23" t="str">
        <f>IFERROR(VLOOKUP(G145, 'Padronização'!A:C, 3, FALSE), "")</f>
        <v>ABM/MAS aplicado à evacuação</v>
      </c>
      <c r="G145" s="4" t="s">
        <v>45</v>
      </c>
      <c r="H145" s="24" t="s">
        <v>65</v>
      </c>
      <c r="I145" s="14" t="s">
        <v>66</v>
      </c>
      <c r="J145" s="14" t="s">
        <v>53</v>
      </c>
      <c r="K145" s="14" t="s">
        <v>298</v>
      </c>
      <c r="L145" s="14" t="s">
        <v>53</v>
      </c>
      <c r="M145" s="11">
        <f t="shared" si="1"/>
        <v>7</v>
      </c>
      <c r="N145" s="12" t="str">
        <f t="shared" si="2"/>
        <v>ALTA</v>
      </c>
    </row>
    <row r="146" ht="22.5" customHeight="1">
      <c r="A146" s="4" t="s">
        <v>30</v>
      </c>
      <c r="B146" s="4">
        <v>2023.0</v>
      </c>
      <c r="C146" s="4" t="s">
        <v>87</v>
      </c>
      <c r="D146" s="4" t="s">
        <v>541</v>
      </c>
      <c r="E146" s="4" t="str">
        <f>IFERROR(VLOOKUP(G146, 'Padronização'!A:C, 2, FALSE), "")</f>
        <v>✅</v>
      </c>
      <c r="F146" s="23" t="str">
        <f>IFERROR(VLOOKUP(G146, 'Padronização'!A:C, 3, FALSE), "")</f>
        <v>ABM/MAS aplicado à evacuação</v>
      </c>
      <c r="G146" s="4" t="s">
        <v>45</v>
      </c>
      <c r="H146" s="24" t="s">
        <v>65</v>
      </c>
      <c r="I146" s="14" t="s">
        <v>66</v>
      </c>
      <c r="J146" s="14" t="s">
        <v>53</v>
      </c>
      <c r="K146" s="14" t="s">
        <v>94</v>
      </c>
      <c r="L146" s="14" t="s">
        <v>53</v>
      </c>
      <c r="M146" s="11">
        <f t="shared" si="1"/>
        <v>5</v>
      </c>
      <c r="N146" s="12" t="str">
        <f t="shared" si="2"/>
        <v>MÉDIA</v>
      </c>
    </row>
    <row r="147" ht="22.5" customHeight="1">
      <c r="A147" s="4" t="s">
        <v>30</v>
      </c>
      <c r="B147" s="4">
        <v>2023.0</v>
      </c>
      <c r="C147" s="4" t="s">
        <v>87</v>
      </c>
      <c r="D147" s="4" t="s">
        <v>544</v>
      </c>
      <c r="E147" s="4" t="str">
        <f>IFERROR(VLOOKUP(G147, 'Padronização'!A:C, 2, FALSE), "")</f>
        <v>✅</v>
      </c>
      <c r="F147" s="23" t="str">
        <f>IFERROR(VLOOKUP(G147, 'Padronização'!A:C, 3, FALSE), "")</f>
        <v>ABM/MAS focado em comportamento humano cognitivo</v>
      </c>
      <c r="G147" s="4" t="s">
        <v>47</v>
      </c>
      <c r="H147" s="24" t="s">
        <v>115</v>
      </c>
      <c r="I147" s="12"/>
      <c r="J147" s="12"/>
      <c r="K147" s="12"/>
      <c r="L147" s="14" t="s">
        <v>61</v>
      </c>
      <c r="M147" s="11">
        <f t="shared" si="1"/>
        <v>-10</v>
      </c>
      <c r="N147" s="12" t="str">
        <f t="shared" si="2"/>
        <v>EXCLUIR</v>
      </c>
    </row>
    <row r="148" ht="22.5" customHeight="1">
      <c r="A148" s="4" t="s">
        <v>30</v>
      </c>
      <c r="B148" s="4">
        <v>2022.0</v>
      </c>
      <c r="C148" s="4" t="s">
        <v>33</v>
      </c>
      <c r="D148" s="4" t="s">
        <v>547</v>
      </c>
      <c r="E148" s="4" t="str">
        <f>IFERROR(VLOOKUP(G148, 'Padronização'!A:C, 2, FALSE), "")</f>
        <v>✅</v>
      </c>
      <c r="F148" s="23" t="str">
        <f>IFERROR(VLOOKUP(G148, 'Padronização'!A:C, 3, FALSE), "")</f>
        <v>ABM/MAS focado em comportamento humano cognitivo</v>
      </c>
      <c r="G148" s="4" t="s">
        <v>47</v>
      </c>
      <c r="H148" s="24" t="s">
        <v>110</v>
      </c>
      <c r="I148" s="14" t="s">
        <v>66</v>
      </c>
      <c r="J148" s="14" t="s">
        <v>100</v>
      </c>
      <c r="K148" s="14" t="s">
        <v>67</v>
      </c>
      <c r="L148" s="14" t="s">
        <v>53</v>
      </c>
      <c r="M148" s="11">
        <f t="shared" si="1"/>
        <v>6</v>
      </c>
      <c r="N148" s="12" t="str">
        <f t="shared" si="2"/>
        <v>ALTA</v>
      </c>
    </row>
    <row r="149" ht="22.5" customHeight="1">
      <c r="A149" s="4" t="s">
        <v>30</v>
      </c>
      <c r="B149" s="4">
        <v>2022.0</v>
      </c>
      <c r="C149" s="4" t="s">
        <v>33</v>
      </c>
      <c r="D149" s="4" t="s">
        <v>551</v>
      </c>
      <c r="E149" s="4" t="str">
        <f>IFERROR(VLOOKUP(G149, 'Padronização'!A:C, 2, FALSE), "")</f>
        <v>✅</v>
      </c>
      <c r="F149" s="23" t="str">
        <f>IFERROR(VLOOKUP(G149, 'Padronização'!A:C, 3, FALSE), "")</f>
        <v>Resposta humana a alertas e decisões</v>
      </c>
      <c r="G149" s="4" t="s">
        <v>50</v>
      </c>
      <c r="H149" s="24" t="s">
        <v>65</v>
      </c>
      <c r="I149" s="14" t="s">
        <v>51</v>
      </c>
      <c r="J149" s="14" t="s">
        <v>53</v>
      </c>
      <c r="K149" s="14" t="s">
        <v>83</v>
      </c>
      <c r="L149" s="14" t="s">
        <v>53</v>
      </c>
      <c r="M149" s="11">
        <f t="shared" si="1"/>
        <v>7</v>
      </c>
      <c r="N149" s="12" t="str">
        <f t="shared" si="2"/>
        <v>ALTA</v>
      </c>
    </row>
    <row r="150" ht="22.5" customHeight="1">
      <c r="A150" s="4" t="s">
        <v>30</v>
      </c>
      <c r="B150" s="4">
        <v>2022.0</v>
      </c>
      <c r="C150" s="4" t="s">
        <v>33</v>
      </c>
      <c r="D150" s="4" t="s">
        <v>554</v>
      </c>
      <c r="E150" s="4" t="str">
        <f>IFERROR(VLOOKUP(G150, 'Padronização'!A:C, 2, FALSE), "")</f>
        <v>✅</v>
      </c>
      <c r="F150" s="23" t="str">
        <f>IFERROR(VLOOKUP(G150, 'Padronização'!A:C, 3, FALSE), "")</f>
        <v>ABM/MAS aplicado à evacuação</v>
      </c>
      <c r="G150" s="4" t="s">
        <v>45</v>
      </c>
      <c r="H150" s="24" t="s">
        <v>65</v>
      </c>
      <c r="I150" s="14" t="s">
        <v>66</v>
      </c>
      <c r="J150" s="14" t="s">
        <v>53</v>
      </c>
      <c r="K150" s="14" t="s">
        <v>94</v>
      </c>
      <c r="L150" s="14" t="s">
        <v>53</v>
      </c>
      <c r="M150" s="11">
        <f t="shared" si="1"/>
        <v>5</v>
      </c>
      <c r="N150" s="12" t="str">
        <f t="shared" si="2"/>
        <v>MÉDIA</v>
      </c>
    </row>
    <row r="151" ht="22.5" customHeight="1">
      <c r="A151" s="4" t="s">
        <v>30</v>
      </c>
      <c r="B151" s="4">
        <v>2022.0</v>
      </c>
      <c r="C151" s="4" t="s">
        <v>33</v>
      </c>
      <c r="D151" s="4" t="s">
        <v>558</v>
      </c>
      <c r="E151" s="4" t="str">
        <f>IFERROR(VLOOKUP(G151, 'Padronização'!A:C, 2, FALSE), "")</f>
        <v>✅</v>
      </c>
      <c r="F151" s="23" t="str">
        <f>IFERROR(VLOOKUP(G151, 'Padronização'!A:C, 3, FALSE), "")</f>
        <v>ABM/MAS focado em comportamento humano cognitivo</v>
      </c>
      <c r="G151" s="4" t="s">
        <v>47</v>
      </c>
      <c r="H151" s="24" t="s">
        <v>154</v>
      </c>
      <c r="I151" s="14" t="s">
        <v>51</v>
      </c>
      <c r="J151" s="14" t="s">
        <v>53</v>
      </c>
      <c r="K151" s="14" t="s">
        <v>94</v>
      </c>
      <c r="L151" s="14" t="s">
        <v>53</v>
      </c>
      <c r="M151" s="11">
        <f t="shared" si="1"/>
        <v>7</v>
      </c>
      <c r="N151" s="12" t="str">
        <f t="shared" si="2"/>
        <v>ALTA</v>
      </c>
    </row>
    <row r="152" ht="22.5" customHeight="1">
      <c r="A152" s="4" t="s">
        <v>30</v>
      </c>
      <c r="B152" s="4">
        <v>2022.0</v>
      </c>
      <c r="C152" s="4" t="s">
        <v>33</v>
      </c>
      <c r="D152" s="22" t="s">
        <v>561</v>
      </c>
      <c r="E152" s="4" t="str">
        <f>IFERROR(VLOOKUP(G152, 'Padronização'!A:C, 2, FALSE), "")</f>
        <v>✅</v>
      </c>
      <c r="F152" s="23" t="str">
        <f>IFERROR(VLOOKUP(G152, 'Padronização'!A:C, 3, FALSE), "")</f>
        <v>ABM/MAS aplicado à evacuação</v>
      </c>
      <c r="G152" s="4" t="s">
        <v>45</v>
      </c>
      <c r="H152" s="24" t="s">
        <v>49</v>
      </c>
      <c r="I152" s="14" t="s">
        <v>51</v>
      </c>
      <c r="J152" s="14" t="s">
        <v>100</v>
      </c>
      <c r="K152" s="14" t="s">
        <v>94</v>
      </c>
      <c r="L152" s="14" t="s">
        <v>53</v>
      </c>
      <c r="M152" s="11">
        <f t="shared" si="1"/>
        <v>6</v>
      </c>
      <c r="N152" s="12" t="str">
        <f t="shared" si="2"/>
        <v>ALTA</v>
      </c>
    </row>
    <row r="153" ht="22.5" customHeight="1">
      <c r="A153" s="4" t="s">
        <v>30</v>
      </c>
      <c r="B153" s="4">
        <v>2022.0</v>
      </c>
      <c r="C153" s="4" t="s">
        <v>33</v>
      </c>
      <c r="D153" s="22" t="s">
        <v>565</v>
      </c>
      <c r="E153" s="4" t="str">
        <f>IFERROR(VLOOKUP(G153, 'Padronização'!A:C, 2, FALSE), "")</f>
        <v>✅</v>
      </c>
      <c r="F153" s="23" t="str">
        <f>IFERROR(VLOOKUP(G153, 'Padronização'!A:C, 3, FALSE), "")</f>
        <v>Resposta humana a alertas e decisões</v>
      </c>
      <c r="G153" s="4" t="s">
        <v>50</v>
      </c>
      <c r="H153" s="24" t="s">
        <v>65</v>
      </c>
      <c r="I153" s="14" t="s">
        <v>51</v>
      </c>
      <c r="J153" s="14" t="s">
        <v>53</v>
      </c>
      <c r="K153" s="14" t="s">
        <v>94</v>
      </c>
      <c r="L153" s="14" t="s">
        <v>53</v>
      </c>
      <c r="M153" s="11">
        <f t="shared" si="1"/>
        <v>7</v>
      </c>
      <c r="N153" s="12" t="str">
        <f t="shared" si="2"/>
        <v>ALTA</v>
      </c>
    </row>
    <row r="154" ht="22.5" customHeight="1">
      <c r="A154" s="4" t="s">
        <v>30</v>
      </c>
      <c r="B154" s="4">
        <v>2022.0</v>
      </c>
      <c r="C154" s="4" t="s">
        <v>33</v>
      </c>
      <c r="D154" s="4" t="s">
        <v>573</v>
      </c>
      <c r="E154" s="4" t="str">
        <f>IFERROR(VLOOKUP(G154, 'Padronização'!A:C, 2, FALSE), "")</f>
        <v>✅</v>
      </c>
      <c r="F154" s="23" t="str">
        <f>IFERROR(VLOOKUP(G154, 'Padronização'!A:C, 3, FALSE), "")</f>
        <v>ABM/MAS aplicado à evacuação</v>
      </c>
      <c r="G154" s="4" t="s">
        <v>45</v>
      </c>
      <c r="H154" s="24" t="s">
        <v>110</v>
      </c>
      <c r="I154" s="14" t="s">
        <v>66</v>
      </c>
      <c r="J154" s="14" t="s">
        <v>100</v>
      </c>
      <c r="K154" s="14" t="s">
        <v>94</v>
      </c>
      <c r="L154" s="14" t="s">
        <v>53</v>
      </c>
      <c r="M154" s="11">
        <f t="shared" si="1"/>
        <v>4</v>
      </c>
      <c r="N154" s="12" t="str">
        <f t="shared" si="2"/>
        <v>MÉDIA</v>
      </c>
    </row>
    <row r="155" ht="22.5" customHeight="1">
      <c r="A155" s="4" t="s">
        <v>30</v>
      </c>
      <c r="B155" s="4">
        <v>2022.0</v>
      </c>
      <c r="C155" s="4" t="s">
        <v>33</v>
      </c>
      <c r="D155" s="4" t="s">
        <v>576</v>
      </c>
      <c r="E155" s="4" t="str">
        <f>IFERROR(VLOOKUP(G155, 'Padronização'!A:C, 2, FALSE), "")</f>
        <v>✅</v>
      </c>
      <c r="F155" s="23" t="str">
        <f>IFERROR(VLOOKUP(G155, 'Padronização'!A:C, 3, FALSE), "")</f>
        <v>ABM/MAS aplicado à evacuação</v>
      </c>
      <c r="G155" s="13" t="s">
        <v>45</v>
      </c>
      <c r="H155" s="24" t="s">
        <v>154</v>
      </c>
      <c r="I155" s="14" t="s">
        <v>51</v>
      </c>
      <c r="J155" s="14" t="s">
        <v>100</v>
      </c>
      <c r="K155" s="14" t="s">
        <v>68</v>
      </c>
      <c r="L155" s="14" t="s">
        <v>53</v>
      </c>
      <c r="M155" s="11">
        <f t="shared" si="1"/>
        <v>8</v>
      </c>
      <c r="N155" s="12" t="str">
        <f t="shared" si="2"/>
        <v>ALTÍSSIMA</v>
      </c>
    </row>
    <row r="156" ht="22.5" customHeight="1">
      <c r="A156" s="4" t="s">
        <v>30</v>
      </c>
      <c r="B156" s="4">
        <v>2022.0</v>
      </c>
      <c r="C156" s="4" t="s">
        <v>33</v>
      </c>
      <c r="D156" s="4" t="s">
        <v>580</v>
      </c>
      <c r="E156" s="4" t="str">
        <f>IFERROR(VLOOKUP(G156, 'Padronização'!A:C, 2, FALSE), "")</f>
        <v>✅</v>
      </c>
      <c r="F156" s="23" t="str">
        <f>IFERROR(VLOOKUP(G156, 'Padronização'!A:C, 3, FALSE), "")</f>
        <v>ABM/MAS aplicado à evacuação</v>
      </c>
      <c r="G156" s="4" t="s">
        <v>45</v>
      </c>
      <c r="H156" s="24" t="s">
        <v>125</v>
      </c>
      <c r="I156" s="14" t="s">
        <v>51</v>
      </c>
      <c r="J156" s="14" t="s">
        <v>100</v>
      </c>
      <c r="K156" s="14" t="s">
        <v>94</v>
      </c>
      <c r="L156" s="14" t="s">
        <v>53</v>
      </c>
      <c r="M156" s="11">
        <f t="shared" si="1"/>
        <v>6</v>
      </c>
      <c r="N156" s="12" t="str">
        <f t="shared" si="2"/>
        <v>ALTA</v>
      </c>
    </row>
    <row r="157" ht="22.5" customHeight="1">
      <c r="A157" s="4" t="s">
        <v>30</v>
      </c>
      <c r="B157" s="4">
        <v>2022.0</v>
      </c>
      <c r="C157" s="4" t="s">
        <v>33</v>
      </c>
      <c r="D157" s="4" t="s">
        <v>583</v>
      </c>
      <c r="E157" s="4" t="str">
        <f>IFERROR(VLOOKUP(G157, 'Padronização'!A:C, 2, FALSE), "")</f>
        <v>✅</v>
      </c>
      <c r="F157" s="23" t="str">
        <f>IFERROR(VLOOKUP(G157, 'Padronização'!A:C, 3, FALSE), "")</f>
        <v>ABM/MAS focado em comportamento humano cognitivo</v>
      </c>
      <c r="G157" s="4" t="s">
        <v>47</v>
      </c>
      <c r="H157" s="24" t="s">
        <v>65</v>
      </c>
      <c r="I157" s="14" t="s">
        <v>51</v>
      </c>
      <c r="J157" s="14" t="s">
        <v>53</v>
      </c>
      <c r="K157" s="14" t="s">
        <v>94</v>
      </c>
      <c r="L157" s="14" t="s">
        <v>53</v>
      </c>
      <c r="M157" s="11">
        <f t="shared" si="1"/>
        <v>7</v>
      </c>
      <c r="N157" s="12" t="str">
        <f t="shared" si="2"/>
        <v>ALTA</v>
      </c>
    </row>
    <row r="158" ht="22.5" customHeight="1">
      <c r="A158" s="4" t="s">
        <v>30</v>
      </c>
      <c r="B158" s="4">
        <v>2022.0</v>
      </c>
      <c r="C158" s="4" t="s">
        <v>33</v>
      </c>
      <c r="D158" s="4" t="s">
        <v>586</v>
      </c>
      <c r="E158" s="4" t="str">
        <f>IFERROR(VLOOKUP(G158, 'Padronização'!A:C, 2, FALSE), "")</f>
        <v>✅</v>
      </c>
      <c r="F158" s="23" t="str">
        <f>IFERROR(VLOOKUP(G158, 'Padronização'!A:C, 3, FALSE), "")</f>
        <v>ABM/MAS focado em comportamento humano cognitivo</v>
      </c>
      <c r="G158" s="4" t="s">
        <v>47</v>
      </c>
      <c r="H158" s="24" t="s">
        <v>65</v>
      </c>
      <c r="I158" s="14" t="s">
        <v>66</v>
      </c>
      <c r="J158" s="14" t="s">
        <v>53</v>
      </c>
      <c r="K158" s="14" t="s">
        <v>83</v>
      </c>
      <c r="L158" s="14" t="s">
        <v>53</v>
      </c>
      <c r="M158" s="11">
        <f t="shared" si="1"/>
        <v>5</v>
      </c>
      <c r="N158" s="12" t="str">
        <f t="shared" si="2"/>
        <v>MÉDIA</v>
      </c>
    </row>
    <row r="159" ht="22.5" customHeight="1">
      <c r="A159" s="4" t="s">
        <v>30</v>
      </c>
      <c r="B159" s="4">
        <v>2022.0</v>
      </c>
      <c r="C159" s="4" t="s">
        <v>33</v>
      </c>
      <c r="D159" s="4" t="s">
        <v>589</v>
      </c>
      <c r="E159" s="4" t="str">
        <f>IFERROR(VLOOKUP(G159, 'Padronização'!A:C, 2, FALSE), "")</f>
        <v>✅</v>
      </c>
      <c r="F159" s="23" t="str">
        <f>IFERROR(VLOOKUP(G159, 'Padronização'!A:C, 3, FALSE), "")</f>
        <v>ABM/MAS focado em comportamento humano cognitivo</v>
      </c>
      <c r="G159" s="4" t="s">
        <v>47</v>
      </c>
      <c r="H159" s="24" t="s">
        <v>49</v>
      </c>
      <c r="I159" s="14" t="s">
        <v>66</v>
      </c>
      <c r="J159" s="14" t="s">
        <v>53</v>
      </c>
      <c r="K159" s="14" t="s">
        <v>83</v>
      </c>
      <c r="L159" s="14" t="s">
        <v>53</v>
      </c>
      <c r="M159" s="11">
        <f t="shared" si="1"/>
        <v>5</v>
      </c>
      <c r="N159" s="12" t="str">
        <f t="shared" si="2"/>
        <v>MÉDIA</v>
      </c>
    </row>
    <row r="160" ht="22.5" customHeight="1">
      <c r="A160" s="4" t="s">
        <v>30</v>
      </c>
      <c r="B160" s="4">
        <v>2022.0</v>
      </c>
      <c r="C160" s="4" t="s">
        <v>33</v>
      </c>
      <c r="D160" s="4" t="s">
        <v>593</v>
      </c>
      <c r="E160" s="4" t="str">
        <f>IFERROR(VLOOKUP(G160, 'Padronização'!A:C, 2, FALSE), "")</f>
        <v>✅</v>
      </c>
      <c r="F160" s="23" t="str">
        <f>IFERROR(VLOOKUP(G160, 'Padronização'!A:C, 3, FALSE), "")</f>
        <v>ABM/MAS focado em comportamento humano cognitivo</v>
      </c>
      <c r="G160" s="4" t="s">
        <v>47</v>
      </c>
      <c r="H160" s="24" t="s">
        <v>65</v>
      </c>
      <c r="I160" s="14" t="s">
        <v>66</v>
      </c>
      <c r="J160" s="14" t="s">
        <v>53</v>
      </c>
      <c r="K160" s="14" t="s">
        <v>94</v>
      </c>
      <c r="L160" s="14" t="s">
        <v>53</v>
      </c>
      <c r="M160" s="11">
        <f t="shared" si="1"/>
        <v>5</v>
      </c>
      <c r="N160" s="12" t="str">
        <f t="shared" si="2"/>
        <v>MÉDIA</v>
      </c>
    </row>
    <row r="161" ht="22.5" customHeight="1">
      <c r="A161" s="4" t="s">
        <v>30</v>
      </c>
      <c r="B161" s="4">
        <v>2022.0</v>
      </c>
      <c r="C161" s="4" t="s">
        <v>33</v>
      </c>
      <c r="D161" s="4" t="s">
        <v>595</v>
      </c>
      <c r="E161" s="4" t="str">
        <f>IFERROR(VLOOKUP(G161, 'Padronização'!A:C, 2, FALSE), "")</f>
        <v>✅</v>
      </c>
      <c r="F161" s="23" t="str">
        <f>IFERROR(VLOOKUP(G161, 'Padronização'!A:C, 3, FALSE), "")</f>
        <v>Grupos vulneráveis em cenários de crise</v>
      </c>
      <c r="G161" s="4" t="s">
        <v>54</v>
      </c>
      <c r="H161" s="24" t="s">
        <v>377</v>
      </c>
      <c r="I161" s="14" t="s">
        <v>51</v>
      </c>
      <c r="J161" s="14" t="s">
        <v>53</v>
      </c>
      <c r="K161" s="14" t="s">
        <v>94</v>
      </c>
      <c r="L161" s="14" t="s">
        <v>53</v>
      </c>
      <c r="M161" s="11">
        <f t="shared" si="1"/>
        <v>7</v>
      </c>
      <c r="N161" s="12" t="str">
        <f t="shared" si="2"/>
        <v>ALTA</v>
      </c>
    </row>
    <row r="162" ht="22.5" customHeight="1">
      <c r="A162" s="4" t="s">
        <v>30</v>
      </c>
      <c r="B162" s="4">
        <v>2022.0</v>
      </c>
      <c r="C162" s="4" t="s">
        <v>33</v>
      </c>
      <c r="D162" s="4" t="s">
        <v>598</v>
      </c>
      <c r="E162" s="4" t="str">
        <f>IFERROR(VLOOKUP(G162, 'Padronização'!A:C, 2, FALSE), "")</f>
        <v>✅</v>
      </c>
      <c r="F162" s="23" t="str">
        <f>IFERROR(VLOOKUP(G162, 'Padronização'!A:C, 3, FALSE), "")</f>
        <v>ABM/MAS aplicado à evacuação</v>
      </c>
      <c r="G162" s="4" t="s">
        <v>45</v>
      </c>
      <c r="H162" s="24" t="s">
        <v>180</v>
      </c>
      <c r="I162" s="14" t="s">
        <v>66</v>
      </c>
      <c r="J162" s="14" t="s">
        <v>53</v>
      </c>
      <c r="K162" s="14" t="s">
        <v>94</v>
      </c>
      <c r="L162" s="14" t="s">
        <v>53</v>
      </c>
      <c r="M162" s="11">
        <f t="shared" si="1"/>
        <v>5</v>
      </c>
      <c r="N162" s="12" t="str">
        <f t="shared" si="2"/>
        <v>MÉDIA</v>
      </c>
    </row>
    <row r="163" ht="22.5" customHeight="1">
      <c r="A163" s="4" t="s">
        <v>30</v>
      </c>
      <c r="B163" s="4">
        <v>2022.0</v>
      </c>
      <c r="C163" s="4" t="s">
        <v>33</v>
      </c>
      <c r="D163" s="4" t="s">
        <v>602</v>
      </c>
      <c r="E163" s="4" t="str">
        <f>IFERROR(VLOOKUP(G163, 'Padronização'!A:C, 2, FALSE), "")</f>
        <v>✅</v>
      </c>
      <c r="F163" s="23" t="str">
        <f>IFERROR(VLOOKUP(G163, 'Padronização'!A:C, 3, FALSE), "")</f>
        <v>Grupos vulneráveis em cenários de crise</v>
      </c>
      <c r="G163" s="4" t="s">
        <v>54</v>
      </c>
      <c r="H163" s="24" t="s">
        <v>456</v>
      </c>
      <c r="I163" s="14" t="s">
        <v>51</v>
      </c>
      <c r="J163" s="14" t="s">
        <v>53</v>
      </c>
      <c r="K163" s="14" t="s">
        <v>94</v>
      </c>
      <c r="L163" s="14" t="s">
        <v>53</v>
      </c>
      <c r="M163" s="11">
        <f t="shared" si="1"/>
        <v>7</v>
      </c>
      <c r="N163" s="12" t="str">
        <f t="shared" si="2"/>
        <v>ALTA</v>
      </c>
    </row>
    <row r="164" ht="22.5" customHeight="1">
      <c r="A164" s="4" t="s">
        <v>30</v>
      </c>
      <c r="B164" s="4">
        <v>2022.0</v>
      </c>
      <c r="C164" s="4" t="s">
        <v>33</v>
      </c>
      <c r="D164" s="4" t="s">
        <v>606</v>
      </c>
      <c r="E164" s="4" t="str">
        <f>IFERROR(VLOOKUP(G164, 'Padronização'!A:C, 2, FALSE), "")</f>
        <v>✅</v>
      </c>
      <c r="F164" s="23" t="str">
        <f>IFERROR(VLOOKUP(G164, 'Padronização'!A:C, 3, FALSE), "")</f>
        <v>ABM/MAS aplicado à evacuação</v>
      </c>
      <c r="G164" s="4" t="s">
        <v>45</v>
      </c>
      <c r="H164" s="24" t="s">
        <v>115</v>
      </c>
      <c r="I164" s="12"/>
      <c r="J164" s="12"/>
      <c r="K164" s="12"/>
      <c r="L164" s="14" t="s">
        <v>61</v>
      </c>
      <c r="M164" s="11">
        <f t="shared" si="1"/>
        <v>-10</v>
      </c>
      <c r="N164" s="12" t="str">
        <f t="shared" si="2"/>
        <v>EXCLUIR</v>
      </c>
    </row>
    <row r="165" ht="22.5" customHeight="1">
      <c r="A165" s="4" t="s">
        <v>30</v>
      </c>
      <c r="B165" s="4">
        <v>2022.0</v>
      </c>
      <c r="C165" s="4" t="s">
        <v>33</v>
      </c>
      <c r="D165" s="4" t="s">
        <v>608</v>
      </c>
      <c r="E165" s="4" t="str">
        <f>IFERROR(VLOOKUP(G165, 'Padronização'!A:C, 2, FALSE), "")</f>
        <v>✅</v>
      </c>
      <c r="F165" s="23" t="str">
        <f>IFERROR(VLOOKUP(G165, 'Padronização'!A:C, 3, FALSE), "")</f>
        <v>ABM/MAS focado em comportamento humano cognitivo</v>
      </c>
      <c r="G165" s="13" t="s">
        <v>47</v>
      </c>
      <c r="H165" s="24" t="s">
        <v>154</v>
      </c>
      <c r="I165" s="14" t="s">
        <v>51</v>
      </c>
      <c r="J165" s="14" t="s">
        <v>100</v>
      </c>
      <c r="K165" s="14" t="s">
        <v>83</v>
      </c>
      <c r="L165" s="14" t="s">
        <v>53</v>
      </c>
      <c r="M165" s="11">
        <f t="shared" si="1"/>
        <v>6</v>
      </c>
      <c r="N165" s="12" t="str">
        <f t="shared" si="2"/>
        <v>ALTA</v>
      </c>
    </row>
    <row r="166" ht="22.5" customHeight="1">
      <c r="A166" s="4" t="s">
        <v>30</v>
      </c>
      <c r="B166" s="4">
        <v>2022.0</v>
      </c>
      <c r="C166" s="4" t="s">
        <v>33</v>
      </c>
      <c r="D166" s="4" t="s">
        <v>609</v>
      </c>
      <c r="E166" s="4" t="str">
        <f>IFERROR(VLOOKUP(G166, 'Padronização'!A:C, 2, FALSE), "")</f>
        <v>✅</v>
      </c>
      <c r="F166" s="23" t="str">
        <f>IFERROR(VLOOKUP(G166, 'Padronização'!A:C, 3, FALSE), "")</f>
        <v>Resposta humana a alertas e decisões</v>
      </c>
      <c r="G166" s="4" t="s">
        <v>50</v>
      </c>
      <c r="H166" s="24" t="s">
        <v>383</v>
      </c>
      <c r="I166" s="14" t="s">
        <v>51</v>
      </c>
      <c r="J166" s="14" t="s">
        <v>53</v>
      </c>
      <c r="K166" s="14" t="s">
        <v>68</v>
      </c>
      <c r="L166" s="14" t="s">
        <v>53</v>
      </c>
      <c r="M166" s="11">
        <f t="shared" si="1"/>
        <v>9</v>
      </c>
      <c r="N166" s="12" t="str">
        <f t="shared" si="2"/>
        <v>ALTÍSSIMA</v>
      </c>
    </row>
    <row r="167" ht="22.5" customHeight="1">
      <c r="A167" s="4" t="s">
        <v>30</v>
      </c>
      <c r="B167" s="4">
        <v>2022.0</v>
      </c>
      <c r="C167" s="4" t="s">
        <v>33</v>
      </c>
      <c r="D167" s="22" t="s">
        <v>610</v>
      </c>
      <c r="E167" s="4" t="str">
        <f>IFERROR(VLOOKUP(G167, 'Padronização'!A:C, 2, FALSE), "")</f>
        <v>✅</v>
      </c>
      <c r="F167" s="23" t="str">
        <f>IFERROR(VLOOKUP(G167, 'Padronização'!A:C, 3, FALSE), "")</f>
        <v>Resposta humana a alertas e decisões</v>
      </c>
      <c r="G167" s="4" t="s">
        <v>50</v>
      </c>
      <c r="H167" s="24" t="s">
        <v>204</v>
      </c>
      <c r="I167" s="14" t="s">
        <v>66</v>
      </c>
      <c r="J167" s="14" t="s">
        <v>53</v>
      </c>
      <c r="K167" s="14" t="s">
        <v>68</v>
      </c>
      <c r="L167" s="14" t="s">
        <v>53</v>
      </c>
      <c r="M167" s="11">
        <f t="shared" si="1"/>
        <v>7</v>
      </c>
      <c r="N167" s="12" t="str">
        <f t="shared" si="2"/>
        <v>ALTA</v>
      </c>
    </row>
    <row r="168" ht="22.5" customHeight="1">
      <c r="A168" s="4" t="s">
        <v>30</v>
      </c>
      <c r="B168" s="4">
        <v>2022.0</v>
      </c>
      <c r="C168" s="4" t="s">
        <v>33</v>
      </c>
      <c r="D168" s="4" t="s">
        <v>611</v>
      </c>
      <c r="E168" s="4" t="str">
        <f>IFERROR(VLOOKUP(G168, 'Padronização'!A:C, 2, FALSE), "")</f>
        <v>✅</v>
      </c>
      <c r="F168" s="23" t="str">
        <f>IFERROR(VLOOKUP(G168, 'Padronização'!A:C, 3, FALSE), "")</f>
        <v>ABM/MAS focado em comportamento humano cognitivo</v>
      </c>
      <c r="G168" s="4" t="s">
        <v>47</v>
      </c>
      <c r="H168" s="24" t="s">
        <v>365</v>
      </c>
      <c r="I168" s="14" t="s">
        <v>51</v>
      </c>
      <c r="J168" s="14" t="s">
        <v>100</v>
      </c>
      <c r="K168" s="14" t="s">
        <v>68</v>
      </c>
      <c r="L168" s="14" t="s">
        <v>53</v>
      </c>
      <c r="M168" s="11">
        <f t="shared" si="1"/>
        <v>6</v>
      </c>
      <c r="N168" s="12" t="str">
        <f t="shared" si="2"/>
        <v>ALTA</v>
      </c>
    </row>
    <row r="169" ht="22.5" customHeight="1">
      <c r="A169" s="4" t="s">
        <v>30</v>
      </c>
      <c r="B169" s="4">
        <v>2022.0</v>
      </c>
      <c r="C169" s="4" t="s">
        <v>33</v>
      </c>
      <c r="D169" s="4" t="s">
        <v>612</v>
      </c>
      <c r="E169" s="4" t="str">
        <f>IFERROR(VLOOKUP(G169, 'Padronização'!A:C, 2, FALSE), "")</f>
        <v>✅</v>
      </c>
      <c r="F169" s="23" t="str">
        <f>IFERROR(VLOOKUP(G169, 'Padronização'!A:C, 3, FALSE), "")</f>
        <v>ABM/MAS aplicado à evacuação</v>
      </c>
      <c r="G169" s="4" t="s">
        <v>45</v>
      </c>
      <c r="H169" s="24" t="s">
        <v>65</v>
      </c>
      <c r="I169" s="14" t="s">
        <v>66</v>
      </c>
      <c r="J169" s="14" t="s">
        <v>53</v>
      </c>
      <c r="K169" s="14" t="s">
        <v>94</v>
      </c>
      <c r="L169" s="14" t="s">
        <v>53</v>
      </c>
      <c r="M169" s="11">
        <f t="shared" si="1"/>
        <v>5</v>
      </c>
      <c r="N169" s="12" t="str">
        <f t="shared" si="2"/>
        <v>MÉDIA</v>
      </c>
    </row>
    <row r="170" ht="22.5" customHeight="1">
      <c r="A170" s="4" t="s">
        <v>30</v>
      </c>
      <c r="B170" s="4">
        <v>2022.0</v>
      </c>
      <c r="C170" s="4" t="s">
        <v>33</v>
      </c>
      <c r="D170" s="4" t="s">
        <v>614</v>
      </c>
      <c r="E170" s="4" t="str">
        <f>IFERROR(VLOOKUP(G170, 'Padronização'!A:C, 2, FALSE), "")</f>
        <v>✅</v>
      </c>
      <c r="F170" s="23" t="str">
        <f>IFERROR(VLOOKUP(G170, 'Padronização'!A:C, 3, FALSE), "")</f>
        <v>ABM/MAS focado em comportamento humano cognitivo</v>
      </c>
      <c r="G170" s="4" t="s">
        <v>47</v>
      </c>
      <c r="H170" s="24" t="s">
        <v>365</v>
      </c>
      <c r="I170" s="14" t="s">
        <v>51</v>
      </c>
      <c r="J170" s="14" t="s">
        <v>53</v>
      </c>
      <c r="K170" s="14" t="s">
        <v>94</v>
      </c>
      <c r="L170" s="14" t="s">
        <v>53</v>
      </c>
      <c r="M170" s="11">
        <f t="shared" si="1"/>
        <v>5</v>
      </c>
      <c r="N170" s="12" t="str">
        <f t="shared" si="2"/>
        <v>MÉDIA</v>
      </c>
    </row>
    <row r="171" ht="22.5" customHeight="1">
      <c r="A171" s="4" t="s">
        <v>30</v>
      </c>
      <c r="B171" s="4">
        <v>2022.0</v>
      </c>
      <c r="C171" s="4" t="s">
        <v>33</v>
      </c>
      <c r="D171" s="4" t="s">
        <v>615</v>
      </c>
      <c r="E171" s="4" t="str">
        <f>IFERROR(VLOOKUP(G171, 'Padronização'!A:C, 2, FALSE), "")</f>
        <v>✅</v>
      </c>
      <c r="F171" s="23" t="str">
        <f>IFERROR(VLOOKUP(G171, 'Padronização'!A:C, 3, FALSE), "")</f>
        <v>ABM/MAS focado em comportamento humano cognitivo</v>
      </c>
      <c r="G171" s="4" t="s">
        <v>47</v>
      </c>
      <c r="H171" s="24" t="s">
        <v>125</v>
      </c>
      <c r="I171" s="14" t="s">
        <v>51</v>
      </c>
      <c r="J171" s="14" t="s">
        <v>53</v>
      </c>
      <c r="K171" s="14" t="s">
        <v>68</v>
      </c>
      <c r="L171" s="14" t="s">
        <v>53</v>
      </c>
      <c r="M171" s="11">
        <f t="shared" si="1"/>
        <v>9</v>
      </c>
      <c r="N171" s="12" t="str">
        <f t="shared" si="2"/>
        <v>ALTÍSSIMA</v>
      </c>
    </row>
    <row r="172" ht="22.5" customHeight="1">
      <c r="A172" s="4" t="s">
        <v>30</v>
      </c>
      <c r="B172" s="4">
        <v>2022.0</v>
      </c>
      <c r="C172" s="4" t="s">
        <v>33</v>
      </c>
      <c r="D172" s="4" t="s">
        <v>617</v>
      </c>
      <c r="E172" s="4" t="str">
        <f>IFERROR(VLOOKUP(G172, 'Padronização'!A:C, 2, FALSE), "")</f>
        <v>✅</v>
      </c>
      <c r="F172" s="23" t="str">
        <f>IFERROR(VLOOKUP(G172, 'Padronização'!A:C, 3, FALSE), "")</f>
        <v>ABM/MAS focado em comportamento humano cognitivo</v>
      </c>
      <c r="G172" s="4" t="s">
        <v>47</v>
      </c>
      <c r="H172" s="24" t="s">
        <v>110</v>
      </c>
      <c r="I172" s="14" t="s">
        <v>51</v>
      </c>
      <c r="J172" s="14" t="s">
        <v>53</v>
      </c>
      <c r="K172" s="14" t="s">
        <v>68</v>
      </c>
      <c r="L172" s="14" t="s">
        <v>53</v>
      </c>
      <c r="M172" s="11">
        <f t="shared" si="1"/>
        <v>9</v>
      </c>
      <c r="N172" s="12" t="str">
        <f t="shared" si="2"/>
        <v>ALTÍSSIMA</v>
      </c>
    </row>
    <row r="173" ht="22.5" customHeight="1">
      <c r="A173" s="4" t="s">
        <v>30</v>
      </c>
      <c r="B173" s="4">
        <v>2022.0</v>
      </c>
      <c r="C173" s="4" t="s">
        <v>33</v>
      </c>
      <c r="D173" s="4" t="s">
        <v>619</v>
      </c>
      <c r="E173" s="4" t="str">
        <f>IFERROR(VLOOKUP(G173, 'Padronização'!A:C, 2, FALSE), "")</f>
        <v>✅</v>
      </c>
      <c r="F173" s="23" t="str">
        <f>IFERROR(VLOOKUP(G173, 'Padronização'!A:C, 3, FALSE), "")</f>
        <v>ABM/MAS aplicado à evacuação</v>
      </c>
      <c r="G173" s="13" t="s">
        <v>45</v>
      </c>
      <c r="H173" s="24" t="s">
        <v>115</v>
      </c>
      <c r="I173" s="12"/>
      <c r="J173" s="12"/>
      <c r="K173" s="12"/>
      <c r="L173" s="14" t="s">
        <v>61</v>
      </c>
      <c r="M173" s="11">
        <f t="shared" si="1"/>
        <v>-10</v>
      </c>
      <c r="N173" s="12" t="str">
        <f t="shared" si="2"/>
        <v>EXCLUIR</v>
      </c>
    </row>
    <row r="174" ht="22.5" customHeight="1">
      <c r="A174" s="4" t="s">
        <v>30</v>
      </c>
      <c r="B174" s="4">
        <v>2022.0</v>
      </c>
      <c r="C174" s="4" t="s">
        <v>33</v>
      </c>
      <c r="D174" s="4" t="s">
        <v>165</v>
      </c>
      <c r="E174" s="4" t="str">
        <f>IFERROR(VLOOKUP(G174, 'Padronização'!A:C, 2, FALSE), "")</f>
        <v>✅</v>
      </c>
      <c r="F174" s="23" t="str">
        <f>IFERROR(VLOOKUP(G174, 'Padronização'!A:C, 3, FALSE), "")</f>
        <v>ABM/MAS focado em comportamento humano cognitivo</v>
      </c>
      <c r="G174" s="4" t="s">
        <v>47</v>
      </c>
      <c r="H174" s="24" t="s">
        <v>49</v>
      </c>
      <c r="I174" s="14" t="s">
        <v>51</v>
      </c>
      <c r="J174" s="14" t="s">
        <v>53</v>
      </c>
      <c r="K174" s="14" t="s">
        <v>82</v>
      </c>
      <c r="L174" s="14" t="s">
        <v>53</v>
      </c>
      <c r="M174" s="11">
        <f t="shared" si="1"/>
        <v>9</v>
      </c>
      <c r="N174" s="12" t="str">
        <f t="shared" si="2"/>
        <v>ALTÍSSIMA</v>
      </c>
    </row>
    <row r="175" ht="22.5" customHeight="1">
      <c r="A175" s="4" t="s">
        <v>30</v>
      </c>
      <c r="B175" s="4">
        <v>2022.0</v>
      </c>
      <c r="C175" s="4" t="s">
        <v>33</v>
      </c>
      <c r="D175" s="4" t="s">
        <v>170</v>
      </c>
      <c r="E175" s="4" t="str">
        <f>IFERROR(VLOOKUP(G175, 'Padronização'!A:C, 2, FALSE), "")</f>
        <v>✅</v>
      </c>
      <c r="F175" s="23" t="str">
        <f>IFERROR(VLOOKUP(G175, 'Padronização'!A:C, 3, FALSE), "")</f>
        <v>ABM/MAS aplicado à evacuação</v>
      </c>
      <c r="G175" s="13" t="s">
        <v>45</v>
      </c>
      <c r="H175" s="24" t="s">
        <v>125</v>
      </c>
      <c r="I175" s="14" t="s">
        <v>51</v>
      </c>
      <c r="J175" s="14" t="s">
        <v>53</v>
      </c>
      <c r="K175" s="14" t="s">
        <v>68</v>
      </c>
      <c r="L175" s="14" t="s">
        <v>53</v>
      </c>
      <c r="M175" s="11">
        <f t="shared" si="1"/>
        <v>9</v>
      </c>
      <c r="N175" s="12" t="str">
        <f t="shared" si="2"/>
        <v>ALTÍSSIMA</v>
      </c>
    </row>
    <row r="176" ht="22.5" customHeight="1">
      <c r="A176" s="4" t="s">
        <v>30</v>
      </c>
      <c r="B176" s="4">
        <v>2022.0</v>
      </c>
      <c r="C176" s="4" t="s">
        <v>33</v>
      </c>
      <c r="D176" s="4" t="s">
        <v>622</v>
      </c>
      <c r="E176" s="4" t="str">
        <f>IFERROR(VLOOKUP(G176, 'Padronização'!A:C, 2, FALSE), "")</f>
        <v>✅</v>
      </c>
      <c r="F176" s="23" t="str">
        <f>IFERROR(VLOOKUP(G176, 'Padronização'!A:C, 3, FALSE), "")</f>
        <v>ABM/MAS focado em comportamento humano cognitivo</v>
      </c>
      <c r="G176" s="13" t="s">
        <v>47</v>
      </c>
      <c r="H176" s="24" t="s">
        <v>110</v>
      </c>
      <c r="I176" s="14" t="s">
        <v>51</v>
      </c>
      <c r="J176" s="14" t="s">
        <v>53</v>
      </c>
      <c r="K176" s="14" t="s">
        <v>68</v>
      </c>
      <c r="L176" s="14" t="s">
        <v>53</v>
      </c>
      <c r="M176" s="11">
        <f t="shared" si="1"/>
        <v>9</v>
      </c>
      <c r="N176" s="12" t="str">
        <f t="shared" si="2"/>
        <v>ALTÍSSIMA</v>
      </c>
    </row>
    <row r="177" ht="22.5" customHeight="1">
      <c r="A177" s="4" t="s">
        <v>30</v>
      </c>
      <c r="B177" s="4">
        <v>2022.0</v>
      </c>
      <c r="C177" s="4" t="s">
        <v>87</v>
      </c>
      <c r="D177" s="4" t="s">
        <v>624</v>
      </c>
      <c r="E177" s="4" t="str">
        <f>IFERROR(VLOOKUP(G177, 'Padronização'!A:C, 2, FALSE), "")</f>
        <v>✅</v>
      </c>
      <c r="F177" s="23" t="str">
        <f>IFERROR(VLOOKUP(G177, 'Padronização'!A:C, 3, FALSE), "")</f>
        <v>ABM/MAS aplicado à evacuação</v>
      </c>
      <c r="G177" s="13" t="s">
        <v>45</v>
      </c>
      <c r="H177" s="24" t="s">
        <v>115</v>
      </c>
      <c r="I177" s="12"/>
      <c r="J177" s="12"/>
      <c r="K177" s="12"/>
      <c r="L177" s="14" t="s">
        <v>61</v>
      </c>
      <c r="M177" s="11">
        <f t="shared" si="1"/>
        <v>-10</v>
      </c>
      <c r="N177" s="12" t="str">
        <f t="shared" si="2"/>
        <v>EXCLUIR</v>
      </c>
    </row>
    <row r="178" ht="22.5" customHeight="1">
      <c r="A178" s="4" t="s">
        <v>30</v>
      </c>
      <c r="B178" s="4">
        <v>2022.0</v>
      </c>
      <c r="C178" s="4" t="s">
        <v>33</v>
      </c>
      <c r="D178" s="4" t="s">
        <v>626</v>
      </c>
      <c r="E178" s="4" t="str">
        <f>IFERROR(VLOOKUP(G178, 'Padronização'!A:C, 2, FALSE), "")</f>
        <v>✅</v>
      </c>
      <c r="F178" s="23" t="str">
        <f>IFERROR(VLOOKUP(G178, 'Padronização'!A:C, 3, FALSE), "")</f>
        <v>ABM/MAS aplicado à evacuação</v>
      </c>
      <c r="G178" s="13" t="s">
        <v>45</v>
      </c>
      <c r="H178" s="24" t="s">
        <v>65</v>
      </c>
      <c r="I178" s="14" t="s">
        <v>66</v>
      </c>
      <c r="J178" s="14" t="s">
        <v>53</v>
      </c>
      <c r="K178" s="14" t="s">
        <v>68</v>
      </c>
      <c r="L178" s="14" t="s">
        <v>53</v>
      </c>
      <c r="M178" s="11">
        <f t="shared" si="1"/>
        <v>7</v>
      </c>
      <c r="N178" s="12" t="str">
        <f t="shared" si="2"/>
        <v>ALTA</v>
      </c>
    </row>
    <row r="179" ht="22.5" customHeight="1">
      <c r="A179" s="4" t="s">
        <v>30</v>
      </c>
      <c r="B179" s="4">
        <v>2022.0</v>
      </c>
      <c r="C179" s="4" t="s">
        <v>87</v>
      </c>
      <c r="D179" s="4" t="s">
        <v>629</v>
      </c>
      <c r="E179" s="4" t="str">
        <f>IFERROR(VLOOKUP(G179, 'Padronização'!A:C, 2, FALSE), "")</f>
        <v>✅</v>
      </c>
      <c r="F179" s="23" t="str">
        <f>IFERROR(VLOOKUP(G179, 'Padronização'!A:C, 3, FALSE), "")</f>
        <v>ABM/MAS aplicado à evacuação</v>
      </c>
      <c r="G179" s="4" t="s">
        <v>45</v>
      </c>
      <c r="H179" s="24" t="s">
        <v>115</v>
      </c>
      <c r="I179" s="12"/>
      <c r="J179" s="12"/>
      <c r="K179" s="12"/>
      <c r="L179" s="14" t="s">
        <v>61</v>
      </c>
      <c r="M179" s="11">
        <f t="shared" si="1"/>
        <v>-10</v>
      </c>
      <c r="N179" s="12" t="str">
        <f t="shared" si="2"/>
        <v>EXCLUIR</v>
      </c>
    </row>
    <row r="180" ht="22.5" customHeight="1">
      <c r="A180" s="4" t="s">
        <v>30</v>
      </c>
      <c r="B180" s="4">
        <v>2022.0</v>
      </c>
      <c r="C180" s="4" t="s">
        <v>87</v>
      </c>
      <c r="D180" s="4" t="s">
        <v>633</v>
      </c>
      <c r="E180" s="4" t="str">
        <f>IFERROR(VLOOKUP(G180, 'Padronização'!A:C, 2, FALSE), "")</f>
        <v>✅</v>
      </c>
      <c r="F180" s="23" t="str">
        <f>IFERROR(VLOOKUP(G180, 'Padronização'!A:C, 3, FALSE), "")</f>
        <v>ABM/MAS focado em comportamento humano cognitivo</v>
      </c>
      <c r="G180" s="4" t="s">
        <v>47</v>
      </c>
      <c r="H180" s="24" t="s">
        <v>65</v>
      </c>
      <c r="I180" s="14" t="s">
        <v>66</v>
      </c>
      <c r="J180" s="14" t="s">
        <v>53</v>
      </c>
      <c r="K180" s="14" t="s">
        <v>298</v>
      </c>
      <c r="L180" s="14" t="s">
        <v>53</v>
      </c>
      <c r="M180" s="11">
        <f t="shared" si="1"/>
        <v>7</v>
      </c>
      <c r="N180" s="12" t="str">
        <f t="shared" si="2"/>
        <v>ALTA</v>
      </c>
    </row>
    <row r="181" ht="22.5" customHeight="1">
      <c r="A181" s="4" t="s">
        <v>30</v>
      </c>
      <c r="B181" s="4">
        <v>2022.0</v>
      </c>
      <c r="C181" s="4" t="s">
        <v>87</v>
      </c>
      <c r="D181" s="4" t="s">
        <v>639</v>
      </c>
      <c r="E181" s="4" t="str">
        <f>IFERROR(VLOOKUP(G181, 'Padronização'!A:C, 2, FALSE), "")</f>
        <v>✅</v>
      </c>
      <c r="F181" s="23" t="str">
        <f>IFERROR(VLOOKUP(G181, 'Padronização'!A:C, 3, FALSE), "")</f>
        <v>ABM/MAS focado em comportamento humano cognitivo</v>
      </c>
      <c r="G181" s="4" t="s">
        <v>47</v>
      </c>
      <c r="H181" s="24" t="s">
        <v>115</v>
      </c>
      <c r="I181" s="12"/>
      <c r="J181" s="12"/>
      <c r="K181" s="12"/>
      <c r="L181" s="14" t="s">
        <v>61</v>
      </c>
      <c r="M181" s="11">
        <f t="shared" si="1"/>
        <v>-10</v>
      </c>
      <c r="N181" s="12" t="str">
        <f t="shared" si="2"/>
        <v>EXCLUIR</v>
      </c>
    </row>
    <row r="182" ht="22.5" customHeight="1">
      <c r="A182" s="4" t="s">
        <v>30</v>
      </c>
      <c r="B182" s="4">
        <v>2022.0</v>
      </c>
      <c r="C182" s="4" t="s">
        <v>33</v>
      </c>
      <c r="D182" s="4" t="s">
        <v>642</v>
      </c>
      <c r="E182" s="4" t="str">
        <f>IFERROR(VLOOKUP(G182, 'Padronização'!A:C, 2, FALSE), "")</f>
        <v>✅</v>
      </c>
      <c r="F182" s="23" t="str">
        <f>IFERROR(VLOOKUP(G182, 'Padronização'!A:C, 3, FALSE), "")</f>
        <v>Resposta humana a alertas e decisões</v>
      </c>
      <c r="G182" s="13" t="s">
        <v>50</v>
      </c>
      <c r="H182" s="24" t="s">
        <v>180</v>
      </c>
      <c r="I182" s="14" t="s">
        <v>51</v>
      </c>
      <c r="J182" s="14" t="s">
        <v>53</v>
      </c>
      <c r="K182" s="14" t="s">
        <v>83</v>
      </c>
      <c r="L182" s="14" t="s">
        <v>53</v>
      </c>
      <c r="M182" s="11">
        <f t="shared" si="1"/>
        <v>7</v>
      </c>
      <c r="N182" s="12" t="str">
        <f t="shared" si="2"/>
        <v>ALTA</v>
      </c>
    </row>
    <row r="183" ht="22.5" customHeight="1">
      <c r="A183" s="4" t="s">
        <v>30</v>
      </c>
      <c r="B183" s="4">
        <v>2022.0</v>
      </c>
      <c r="C183" s="4" t="s">
        <v>87</v>
      </c>
      <c r="D183" s="4" t="s">
        <v>644</v>
      </c>
      <c r="E183" s="4" t="str">
        <f>IFERROR(VLOOKUP(G183, 'Padronização'!A:C, 2, FALSE), "")</f>
        <v>✅</v>
      </c>
      <c r="F183" s="23" t="str">
        <f>IFERROR(VLOOKUP(G183, 'Padronização'!A:C, 3, FALSE), "")</f>
        <v>Resposta humana a alertas e decisões</v>
      </c>
      <c r="G183" s="13" t="s">
        <v>50</v>
      </c>
      <c r="H183" s="24" t="s">
        <v>115</v>
      </c>
      <c r="I183" s="12"/>
      <c r="J183" s="12"/>
      <c r="K183" s="12"/>
      <c r="L183" s="14" t="s">
        <v>61</v>
      </c>
      <c r="M183" s="11">
        <f t="shared" si="1"/>
        <v>-10</v>
      </c>
      <c r="N183" s="12" t="str">
        <f t="shared" si="2"/>
        <v>EXCLUIR</v>
      </c>
    </row>
    <row r="184" ht="22.5" customHeight="1">
      <c r="A184" s="4" t="s">
        <v>30</v>
      </c>
      <c r="B184" s="4">
        <v>2022.0</v>
      </c>
      <c r="C184" s="4" t="s">
        <v>33</v>
      </c>
      <c r="D184" s="4" t="s">
        <v>646</v>
      </c>
      <c r="E184" s="4" t="str">
        <f>IFERROR(VLOOKUP(G184, 'Padronização'!A:C, 2, FALSE), "")</f>
        <v>✅</v>
      </c>
      <c r="F184" s="23" t="str">
        <f>IFERROR(VLOOKUP(G184, 'Padronização'!A:C, 3, FALSE), "")</f>
        <v>ABM/MAS focado em comportamento humano cognitivo</v>
      </c>
      <c r="G184" s="4" t="s">
        <v>47</v>
      </c>
      <c r="H184" s="24" t="s">
        <v>286</v>
      </c>
      <c r="I184" s="14" t="s">
        <v>51</v>
      </c>
      <c r="J184" s="14" t="s">
        <v>53</v>
      </c>
      <c r="K184" s="14" t="s">
        <v>83</v>
      </c>
      <c r="L184" s="14" t="s">
        <v>53</v>
      </c>
      <c r="M184" s="11">
        <f t="shared" si="1"/>
        <v>7</v>
      </c>
      <c r="N184" s="12" t="str">
        <f t="shared" si="2"/>
        <v>ALTA</v>
      </c>
    </row>
    <row r="185" ht="22.5" customHeight="1">
      <c r="A185" s="4" t="s">
        <v>30</v>
      </c>
      <c r="B185" s="4">
        <v>2022.0</v>
      </c>
      <c r="C185" s="4" t="s">
        <v>390</v>
      </c>
      <c r="D185" s="22" t="s">
        <v>649</v>
      </c>
      <c r="E185" s="4" t="str">
        <f>IFERROR(VLOOKUP(G185, 'Padronização'!A:C, 2, FALSE), "")</f>
        <v>✅</v>
      </c>
      <c r="F185" s="23" t="str">
        <f>IFERROR(VLOOKUP(G185, 'Padronização'!A:C, 3, FALSE), "")</f>
        <v>ABM/MAS aplicado à evacuação</v>
      </c>
      <c r="G185" s="13" t="s">
        <v>45</v>
      </c>
      <c r="H185" s="24" t="s">
        <v>65</v>
      </c>
      <c r="I185" s="14" t="s">
        <v>66</v>
      </c>
      <c r="J185" s="14" t="s">
        <v>61</v>
      </c>
      <c r="K185" s="14"/>
      <c r="L185" s="14" t="s">
        <v>53</v>
      </c>
      <c r="M185" s="11">
        <f t="shared" si="1"/>
        <v>3</v>
      </c>
      <c r="N185" s="12" t="str">
        <f t="shared" si="2"/>
        <v>BAIXA</v>
      </c>
    </row>
    <row r="186" ht="22.5" customHeight="1">
      <c r="A186" s="4" t="s">
        <v>30</v>
      </c>
      <c r="B186" s="4">
        <v>2022.0</v>
      </c>
      <c r="C186" s="4" t="s">
        <v>87</v>
      </c>
      <c r="D186" s="4" t="s">
        <v>651</v>
      </c>
      <c r="E186" s="4" t="str">
        <f>IFERROR(VLOOKUP(G186, 'Padronização'!A:C, 2, FALSE), "")</f>
        <v>✅</v>
      </c>
      <c r="F186" s="23" t="str">
        <f>IFERROR(VLOOKUP(G186, 'Padronização'!A:C, 3, FALSE), "")</f>
        <v>ABM/MAS aplicado à evacuação</v>
      </c>
      <c r="G186" s="13" t="s">
        <v>45</v>
      </c>
      <c r="H186" s="24" t="s">
        <v>115</v>
      </c>
      <c r="I186" s="12"/>
      <c r="J186" s="12"/>
      <c r="K186" s="12"/>
      <c r="L186" s="14" t="s">
        <v>61</v>
      </c>
      <c r="M186" s="11">
        <f t="shared" si="1"/>
        <v>-10</v>
      </c>
      <c r="N186" s="12" t="str">
        <f t="shared" si="2"/>
        <v>EXCLUIR</v>
      </c>
    </row>
    <row r="187" ht="22.5" customHeight="1">
      <c r="A187" s="4" t="s">
        <v>30</v>
      </c>
      <c r="B187" s="4">
        <v>2022.0</v>
      </c>
      <c r="C187" s="4" t="s">
        <v>87</v>
      </c>
      <c r="D187" s="4" t="s">
        <v>653</v>
      </c>
      <c r="E187" s="4" t="str">
        <f>IFERROR(VLOOKUP(G187, 'Padronização'!A:C, 2, FALSE), "")</f>
        <v>✅</v>
      </c>
      <c r="F187" s="23" t="str">
        <f>IFERROR(VLOOKUP(G187, 'Padronização'!A:C, 3, FALSE), "")</f>
        <v>ABM/MAS aplicado à evacuação</v>
      </c>
      <c r="G187" s="13" t="s">
        <v>45</v>
      </c>
      <c r="H187" s="24" t="s">
        <v>180</v>
      </c>
      <c r="I187" s="14" t="s">
        <v>51</v>
      </c>
      <c r="J187" s="14" t="s">
        <v>53</v>
      </c>
      <c r="K187" s="14" t="s">
        <v>68</v>
      </c>
      <c r="L187" s="14" t="s">
        <v>53</v>
      </c>
      <c r="M187" s="11">
        <f t="shared" si="1"/>
        <v>9</v>
      </c>
      <c r="N187" s="12" t="str">
        <f t="shared" si="2"/>
        <v>ALTÍSSIMA</v>
      </c>
    </row>
    <row r="188" ht="22.5" customHeight="1">
      <c r="A188" s="4" t="s">
        <v>30</v>
      </c>
      <c r="B188" s="4">
        <v>2022.0</v>
      </c>
      <c r="C188" s="4" t="s">
        <v>87</v>
      </c>
      <c r="D188" s="4" t="s">
        <v>655</v>
      </c>
      <c r="E188" s="4" t="str">
        <f>IFERROR(VLOOKUP(G188, 'Padronização'!A:C, 2, FALSE), "")</f>
        <v>✅</v>
      </c>
      <c r="F188" s="23" t="str">
        <f>IFERROR(VLOOKUP(G188, 'Padronização'!A:C, 3, FALSE), "")</f>
        <v>ABM/MAS aplicado à evacuação</v>
      </c>
      <c r="G188" s="4" t="s">
        <v>45</v>
      </c>
      <c r="H188" s="24" t="s">
        <v>180</v>
      </c>
      <c r="I188" s="14" t="s">
        <v>51</v>
      </c>
      <c r="J188" s="14" t="s">
        <v>53</v>
      </c>
      <c r="K188" s="14" t="s">
        <v>68</v>
      </c>
      <c r="L188" s="14" t="s">
        <v>53</v>
      </c>
      <c r="M188" s="11">
        <f t="shared" si="1"/>
        <v>9</v>
      </c>
      <c r="N188" s="12" t="str">
        <f t="shared" si="2"/>
        <v>ALTÍSSIMA</v>
      </c>
    </row>
    <row r="189" ht="22.5" customHeight="1">
      <c r="A189" s="4" t="s">
        <v>30</v>
      </c>
      <c r="B189" s="4">
        <v>2022.0</v>
      </c>
      <c r="C189" s="4" t="s">
        <v>33</v>
      </c>
      <c r="D189" s="22" t="s">
        <v>656</v>
      </c>
      <c r="E189" s="4" t="str">
        <f>IFERROR(VLOOKUP(G189, 'Padronização'!A:C, 2, FALSE), "")</f>
        <v>✅</v>
      </c>
      <c r="F189" s="23" t="str">
        <f>IFERROR(VLOOKUP(G189, 'Padronização'!A:C, 3, FALSE), "")</f>
        <v>ABM/MAS focado em comportamento humano cognitivo</v>
      </c>
      <c r="G189" s="13" t="s">
        <v>47</v>
      </c>
      <c r="H189" s="24" t="s">
        <v>110</v>
      </c>
      <c r="I189" s="14" t="s">
        <v>66</v>
      </c>
      <c r="J189" s="14" t="s">
        <v>53</v>
      </c>
      <c r="K189" s="14" t="s">
        <v>298</v>
      </c>
      <c r="L189" s="14" t="s">
        <v>53</v>
      </c>
      <c r="M189" s="11">
        <f t="shared" si="1"/>
        <v>7</v>
      </c>
      <c r="N189" s="12" t="str">
        <f t="shared" si="2"/>
        <v>ALTA</v>
      </c>
    </row>
    <row r="190" ht="22.5" customHeight="1">
      <c r="A190" s="4" t="s">
        <v>30</v>
      </c>
      <c r="B190" s="4">
        <v>2022.0</v>
      </c>
      <c r="C190" s="4" t="s">
        <v>87</v>
      </c>
      <c r="D190" s="4" t="s">
        <v>657</v>
      </c>
      <c r="E190" s="4" t="str">
        <f>IFERROR(VLOOKUP(G190, 'Padronização'!A:C, 2, FALSE), "")</f>
        <v>✅</v>
      </c>
      <c r="F190" s="23" t="str">
        <f>IFERROR(VLOOKUP(G190, 'Padronização'!A:C, 3, FALSE), "")</f>
        <v>ABM/MAS aplicado à evacuação</v>
      </c>
      <c r="G190" s="13" t="s">
        <v>45</v>
      </c>
      <c r="H190" s="24" t="s">
        <v>65</v>
      </c>
      <c r="I190" s="14" t="s">
        <v>66</v>
      </c>
      <c r="J190" s="14" t="s">
        <v>53</v>
      </c>
      <c r="K190" s="14" t="s">
        <v>83</v>
      </c>
      <c r="L190" s="14" t="s">
        <v>53</v>
      </c>
      <c r="M190" s="11">
        <f t="shared" si="1"/>
        <v>5</v>
      </c>
      <c r="N190" s="12" t="str">
        <f t="shared" si="2"/>
        <v>MÉDIA</v>
      </c>
    </row>
    <row r="191" ht="22.5" customHeight="1">
      <c r="A191" s="4" t="s">
        <v>30</v>
      </c>
      <c r="B191" s="4">
        <v>2022.0</v>
      </c>
      <c r="C191" s="4" t="s">
        <v>87</v>
      </c>
      <c r="D191" s="4" t="s">
        <v>658</v>
      </c>
      <c r="E191" s="4" t="str">
        <f>IFERROR(VLOOKUP(G191, 'Padronização'!A:C, 2, FALSE), "")</f>
        <v>✅</v>
      </c>
      <c r="F191" s="23" t="str">
        <f>IFERROR(VLOOKUP(G191, 'Padronização'!A:C, 3, FALSE), "")</f>
        <v>ABM/MAS focado em comportamento humano cognitivo</v>
      </c>
      <c r="G191" s="4" t="s">
        <v>47</v>
      </c>
      <c r="H191" s="24" t="s">
        <v>49</v>
      </c>
      <c r="I191" s="14" t="s">
        <v>51</v>
      </c>
      <c r="J191" s="14" t="s">
        <v>61</v>
      </c>
      <c r="K191" s="14" t="s">
        <v>82</v>
      </c>
      <c r="L191" s="14" t="s">
        <v>53</v>
      </c>
      <c r="M191" s="11">
        <f t="shared" si="1"/>
        <v>7</v>
      </c>
      <c r="N191" s="12" t="str">
        <f t="shared" si="2"/>
        <v>ALTA</v>
      </c>
    </row>
    <row r="192" ht="22.5" customHeight="1">
      <c r="A192" s="4" t="s">
        <v>30</v>
      </c>
      <c r="B192" s="4">
        <v>2022.0</v>
      </c>
      <c r="C192" s="4" t="s">
        <v>87</v>
      </c>
      <c r="D192" s="4" t="s">
        <v>660</v>
      </c>
      <c r="E192" s="4" t="str">
        <f>IFERROR(VLOOKUP(G192, 'Padronização'!A:C, 2, FALSE), "")</f>
        <v>✅</v>
      </c>
      <c r="F192" s="23" t="str">
        <f>IFERROR(VLOOKUP(G192, 'Padronização'!A:C, 3, FALSE), "")</f>
        <v>ABM/MAS focado em comportamento humano cognitivo</v>
      </c>
      <c r="G192" s="13" t="s">
        <v>47</v>
      </c>
      <c r="H192" s="24" t="s">
        <v>115</v>
      </c>
      <c r="I192" s="12"/>
      <c r="J192" s="12"/>
      <c r="K192" s="12"/>
      <c r="L192" s="14" t="s">
        <v>61</v>
      </c>
      <c r="M192" s="11">
        <f t="shared" si="1"/>
        <v>-10</v>
      </c>
      <c r="N192" s="12" t="str">
        <f t="shared" si="2"/>
        <v>EXCLUIR</v>
      </c>
    </row>
    <row r="193" ht="22.5" customHeight="1">
      <c r="A193" s="4" t="s">
        <v>30</v>
      </c>
      <c r="B193" s="4">
        <v>2022.0</v>
      </c>
      <c r="C193" s="4" t="s">
        <v>87</v>
      </c>
      <c r="D193" s="4" t="s">
        <v>663</v>
      </c>
      <c r="E193" s="4" t="str">
        <f>IFERROR(VLOOKUP(G193, 'Padronização'!A:C, 2, FALSE), "")</f>
        <v>✅</v>
      </c>
      <c r="F193" s="23" t="str">
        <f>IFERROR(VLOOKUP(G193, 'Padronização'!A:C, 3, FALSE), "")</f>
        <v>ABM/MAS focado em comportamento humano cognitivo</v>
      </c>
      <c r="G193" s="13" t="s">
        <v>47</v>
      </c>
      <c r="H193" s="24" t="s">
        <v>115</v>
      </c>
      <c r="I193" s="12"/>
      <c r="J193" s="12"/>
      <c r="K193" s="12"/>
      <c r="L193" s="14" t="s">
        <v>61</v>
      </c>
      <c r="M193" s="11">
        <f t="shared" si="1"/>
        <v>-10</v>
      </c>
      <c r="N193" s="12" t="str">
        <f t="shared" si="2"/>
        <v>EXCLUIR</v>
      </c>
    </row>
    <row r="194" ht="22.5" customHeight="1">
      <c r="A194" s="4" t="s">
        <v>30</v>
      </c>
      <c r="B194" s="4">
        <v>2022.0</v>
      </c>
      <c r="C194" s="4" t="s">
        <v>33</v>
      </c>
      <c r="D194" s="4" t="s">
        <v>665</v>
      </c>
      <c r="E194" s="4" t="str">
        <f>IFERROR(VLOOKUP(G194, 'Padronização'!A:C, 2, FALSE), "")</f>
        <v>✅</v>
      </c>
      <c r="F194" s="23" t="str">
        <f>IFERROR(VLOOKUP(G194, 'Padronização'!A:C, 3, FALSE), "")</f>
        <v>Grupos vulneráveis em cenários de crise</v>
      </c>
      <c r="G194" s="13" t="s">
        <v>54</v>
      </c>
      <c r="H194" s="24" t="s">
        <v>110</v>
      </c>
      <c r="I194" s="14" t="s">
        <v>66</v>
      </c>
      <c r="J194" s="14" t="s">
        <v>53</v>
      </c>
      <c r="K194" s="14" t="s">
        <v>67</v>
      </c>
      <c r="L194" s="14" t="s">
        <v>53</v>
      </c>
      <c r="M194" s="11">
        <f t="shared" si="1"/>
        <v>7</v>
      </c>
      <c r="N194" s="12" t="str">
        <f t="shared" si="2"/>
        <v>ALTA</v>
      </c>
    </row>
    <row r="195" ht="22.5" customHeight="1">
      <c r="A195" s="4" t="s">
        <v>30</v>
      </c>
      <c r="B195" s="4">
        <v>2022.0</v>
      </c>
      <c r="C195" s="4" t="s">
        <v>87</v>
      </c>
      <c r="D195" s="4" t="s">
        <v>668</v>
      </c>
      <c r="E195" s="4" t="str">
        <f>IFERROR(VLOOKUP(G195, 'Padronização'!A:C, 2, FALSE), "")</f>
        <v>✅</v>
      </c>
      <c r="F195" s="23" t="str">
        <f>IFERROR(VLOOKUP(G195, 'Padronização'!A:C, 3, FALSE), "")</f>
        <v>ABM/MAS aplicado à evacuação</v>
      </c>
      <c r="G195" s="13" t="s">
        <v>45</v>
      </c>
      <c r="H195" s="24" t="s">
        <v>154</v>
      </c>
      <c r="I195" s="14" t="s">
        <v>51</v>
      </c>
      <c r="J195" s="14" t="s">
        <v>61</v>
      </c>
      <c r="K195" s="14" t="s">
        <v>83</v>
      </c>
      <c r="L195" s="14" t="s">
        <v>53</v>
      </c>
      <c r="M195" s="11">
        <f t="shared" si="1"/>
        <v>5</v>
      </c>
      <c r="N195" s="12" t="str">
        <f t="shared" si="2"/>
        <v>MÉDIA</v>
      </c>
    </row>
    <row r="196" ht="22.5" customHeight="1">
      <c r="A196" s="4" t="s">
        <v>30</v>
      </c>
      <c r="B196" s="4">
        <v>2022.0</v>
      </c>
      <c r="C196" s="4" t="s">
        <v>87</v>
      </c>
      <c r="D196" s="4" t="s">
        <v>671</v>
      </c>
      <c r="E196" s="4" t="str">
        <f>IFERROR(VLOOKUP(G196, 'Padronização'!A:C, 2, FALSE), "")</f>
        <v>✅</v>
      </c>
      <c r="F196" s="23" t="str">
        <f>IFERROR(VLOOKUP(G196, 'Padronização'!A:C, 3, FALSE), "")</f>
        <v>Grupos vulneráveis em cenários de crise</v>
      </c>
      <c r="G196" s="13" t="s">
        <v>54</v>
      </c>
      <c r="H196" s="24" t="s">
        <v>115</v>
      </c>
      <c r="I196" s="12"/>
      <c r="J196" s="12"/>
      <c r="K196" s="12"/>
      <c r="L196" s="14" t="s">
        <v>61</v>
      </c>
      <c r="M196" s="11">
        <f t="shared" si="1"/>
        <v>-10</v>
      </c>
      <c r="N196" s="12" t="str">
        <f t="shared" si="2"/>
        <v>EXCLUIR</v>
      </c>
    </row>
    <row r="197" ht="22.5" customHeight="1">
      <c r="A197" s="4" t="s">
        <v>30</v>
      </c>
      <c r="B197" s="4">
        <v>2022.0</v>
      </c>
      <c r="C197" s="4" t="s">
        <v>33</v>
      </c>
      <c r="D197" s="4" t="s">
        <v>676</v>
      </c>
      <c r="E197" s="4" t="str">
        <f>IFERROR(VLOOKUP(G197, 'Padronização'!A:C, 2, FALSE), "")</f>
        <v>✅</v>
      </c>
      <c r="F197" s="23" t="str">
        <f>IFERROR(VLOOKUP(G197, 'Padronização'!A:C, 3, FALSE), "")</f>
        <v>Grupos vulneráveis em cenários de crise</v>
      </c>
      <c r="G197" s="13" t="s">
        <v>54</v>
      </c>
      <c r="H197" s="24" t="s">
        <v>65</v>
      </c>
      <c r="I197" s="14" t="s">
        <v>66</v>
      </c>
      <c r="J197" s="14" t="s">
        <v>53</v>
      </c>
      <c r="K197" s="14" t="s">
        <v>83</v>
      </c>
      <c r="L197" s="14" t="s">
        <v>53</v>
      </c>
      <c r="M197" s="11">
        <f t="shared" si="1"/>
        <v>5</v>
      </c>
      <c r="N197" s="12" t="str">
        <f t="shared" si="2"/>
        <v>MÉDIA</v>
      </c>
    </row>
    <row r="198" ht="22.5" customHeight="1">
      <c r="A198" s="4" t="s">
        <v>30</v>
      </c>
      <c r="B198" s="4">
        <v>2022.0</v>
      </c>
      <c r="C198" s="4" t="s">
        <v>87</v>
      </c>
      <c r="D198" s="4" t="s">
        <v>680</v>
      </c>
      <c r="E198" s="4" t="str">
        <f>IFERROR(VLOOKUP(G198, 'Padronização'!A:C, 2, FALSE), "")</f>
        <v>✅</v>
      </c>
      <c r="F198" s="23" t="str">
        <f>IFERROR(VLOOKUP(G198, 'Padronização'!A:C, 3, FALSE), "")</f>
        <v>ABM/MAS focado em comportamento humano cognitivo</v>
      </c>
      <c r="G198" s="13" t="s">
        <v>47</v>
      </c>
      <c r="H198" s="24" t="s">
        <v>115</v>
      </c>
      <c r="I198" s="12"/>
      <c r="J198" s="12"/>
      <c r="K198" s="12"/>
      <c r="L198" s="14" t="s">
        <v>61</v>
      </c>
      <c r="M198" s="11">
        <f t="shared" si="1"/>
        <v>-10</v>
      </c>
      <c r="N198" s="12" t="str">
        <f t="shared" si="2"/>
        <v>EXCLUIR</v>
      </c>
    </row>
    <row r="199" ht="22.5" customHeight="1">
      <c r="A199" s="4" t="s">
        <v>30</v>
      </c>
      <c r="B199" s="4">
        <v>2022.0</v>
      </c>
      <c r="C199" s="4" t="s">
        <v>87</v>
      </c>
      <c r="D199" s="4" t="s">
        <v>682</v>
      </c>
      <c r="E199" s="4" t="str">
        <f>IFERROR(VLOOKUP(G199, 'Padronização'!A:C, 2, FALSE), "")</f>
        <v>✅</v>
      </c>
      <c r="F199" s="23" t="str">
        <f>IFERROR(VLOOKUP(G199, 'Padronização'!A:C, 3, FALSE), "")</f>
        <v>ABM/MAS focado em comportamento humano cognitivo</v>
      </c>
      <c r="G199" s="13" t="s">
        <v>47</v>
      </c>
      <c r="H199" s="24" t="s">
        <v>115</v>
      </c>
      <c r="I199" s="12"/>
      <c r="J199" s="12"/>
      <c r="K199" s="12"/>
      <c r="L199" s="14" t="s">
        <v>61</v>
      </c>
      <c r="M199" s="11">
        <f t="shared" si="1"/>
        <v>-10</v>
      </c>
      <c r="N199" s="12" t="str">
        <f t="shared" si="2"/>
        <v>EXCLUIR</v>
      </c>
    </row>
    <row r="200" ht="22.5" customHeight="1">
      <c r="A200" s="4" t="s">
        <v>30</v>
      </c>
      <c r="B200" s="4">
        <v>2022.0</v>
      </c>
      <c r="C200" s="4" t="s">
        <v>87</v>
      </c>
      <c r="D200" s="4" t="s">
        <v>684</v>
      </c>
      <c r="E200" s="4" t="str">
        <f>IFERROR(VLOOKUP(G200, 'Padronização'!A:C, 2, FALSE), "")</f>
        <v>✅</v>
      </c>
      <c r="F200" s="23" t="str">
        <f>IFERROR(VLOOKUP(G200, 'Padronização'!A:C, 3, FALSE), "")</f>
        <v>Resposta humana a alertas e decisões</v>
      </c>
      <c r="G200" s="4" t="s">
        <v>50</v>
      </c>
      <c r="H200" s="24" t="s">
        <v>115</v>
      </c>
      <c r="I200" s="12"/>
      <c r="J200" s="12"/>
      <c r="K200" s="12"/>
      <c r="L200" s="14" t="s">
        <v>61</v>
      </c>
      <c r="M200" s="11">
        <f t="shared" si="1"/>
        <v>-10</v>
      </c>
      <c r="N200" s="12" t="str">
        <f t="shared" si="2"/>
        <v>EXCLUIR</v>
      </c>
    </row>
    <row r="201" ht="22.5" customHeight="1">
      <c r="A201" s="4" t="s">
        <v>30</v>
      </c>
      <c r="B201" s="4">
        <v>2022.0</v>
      </c>
      <c r="C201" s="4" t="s">
        <v>87</v>
      </c>
      <c r="D201" s="4" t="s">
        <v>685</v>
      </c>
      <c r="E201" s="4" t="str">
        <f>IFERROR(VLOOKUP(G201, 'Padronização'!A:C, 2, FALSE), "")</f>
        <v>✅</v>
      </c>
      <c r="F201" s="23" t="str">
        <f>IFERROR(VLOOKUP(G201, 'Padronização'!A:C, 3, FALSE), "")</f>
        <v>Grupos vulneráveis em cenários de crise</v>
      </c>
      <c r="G201" s="4" t="s">
        <v>54</v>
      </c>
      <c r="H201" s="24" t="s">
        <v>65</v>
      </c>
      <c r="I201" s="14" t="s">
        <v>66</v>
      </c>
      <c r="J201" s="14" t="s">
        <v>53</v>
      </c>
      <c r="K201" s="14" t="s">
        <v>83</v>
      </c>
      <c r="L201" s="14" t="s">
        <v>53</v>
      </c>
      <c r="M201" s="11">
        <f t="shared" si="1"/>
        <v>5</v>
      </c>
      <c r="N201" s="12" t="str">
        <f t="shared" si="2"/>
        <v>MÉDIA</v>
      </c>
    </row>
    <row r="202" ht="22.5" customHeight="1">
      <c r="A202" s="4" t="s">
        <v>30</v>
      </c>
      <c r="B202" s="4">
        <v>2021.0</v>
      </c>
      <c r="C202" s="4" t="s">
        <v>33</v>
      </c>
      <c r="D202" s="4" t="s">
        <v>686</v>
      </c>
      <c r="E202" s="4" t="str">
        <f>IFERROR(VLOOKUP(G202, 'Padronização'!A:C, 2, FALSE), "")</f>
        <v>✅</v>
      </c>
      <c r="F202" s="23" t="str">
        <f>IFERROR(VLOOKUP(G202, 'Padronização'!A:C, 3, FALSE), "")</f>
        <v>ABM/MAS aplicado à evacuação</v>
      </c>
      <c r="G202" s="4" t="s">
        <v>45</v>
      </c>
      <c r="H202" s="24" t="s">
        <v>125</v>
      </c>
      <c r="I202" s="14" t="s">
        <v>66</v>
      </c>
      <c r="J202" s="14" t="s">
        <v>53</v>
      </c>
      <c r="K202" s="14" t="s">
        <v>83</v>
      </c>
      <c r="L202" s="14" t="s">
        <v>53</v>
      </c>
      <c r="M202" s="11">
        <f t="shared" si="1"/>
        <v>5</v>
      </c>
      <c r="N202" s="12" t="str">
        <f t="shared" si="2"/>
        <v>MÉDIA</v>
      </c>
    </row>
    <row r="203" ht="22.5" customHeight="1">
      <c r="A203" s="4" t="s">
        <v>30</v>
      </c>
      <c r="B203" s="4">
        <v>2021.0</v>
      </c>
      <c r="C203" s="4" t="s">
        <v>87</v>
      </c>
      <c r="D203" s="4" t="s">
        <v>687</v>
      </c>
      <c r="E203" s="4" t="str">
        <f>IFERROR(VLOOKUP(G203, 'Padronização'!A:C, 2, FALSE), "")</f>
        <v>✅</v>
      </c>
      <c r="F203" s="23" t="str">
        <f>IFERROR(VLOOKUP(G203, 'Padronização'!A:C, 3, FALSE), "")</f>
        <v>ABM/MAS aplicado à evacuação</v>
      </c>
      <c r="G203" s="4" t="s">
        <v>45</v>
      </c>
      <c r="H203" s="24" t="s">
        <v>110</v>
      </c>
      <c r="I203" s="14" t="s">
        <v>66</v>
      </c>
      <c r="J203" s="14" t="s">
        <v>100</v>
      </c>
      <c r="K203" s="14" t="s">
        <v>298</v>
      </c>
      <c r="L203" s="14" t="s">
        <v>53</v>
      </c>
      <c r="M203" s="11">
        <f t="shared" si="1"/>
        <v>6</v>
      </c>
      <c r="N203" s="12" t="str">
        <f t="shared" si="2"/>
        <v>ALTA</v>
      </c>
    </row>
    <row r="204" ht="22.5" customHeight="1">
      <c r="A204" s="4" t="s">
        <v>30</v>
      </c>
      <c r="B204" s="4">
        <v>2021.0</v>
      </c>
      <c r="C204" s="4" t="s">
        <v>33</v>
      </c>
      <c r="D204" s="4" t="s">
        <v>699</v>
      </c>
      <c r="E204" s="4" t="str">
        <f>IFERROR(VLOOKUP(G204, 'Padronização'!A:C, 2, FALSE), "")</f>
        <v>✅</v>
      </c>
      <c r="F204" s="23" t="str">
        <f>IFERROR(VLOOKUP(G204, 'Padronização'!A:C, 3, FALSE), "")</f>
        <v>ABM/MAS focado em comportamento humano cognitivo</v>
      </c>
      <c r="G204" s="4" t="s">
        <v>47</v>
      </c>
      <c r="H204" s="24" t="s">
        <v>204</v>
      </c>
      <c r="I204" s="14" t="s">
        <v>66</v>
      </c>
      <c r="J204" s="14" t="s">
        <v>100</v>
      </c>
      <c r="K204" s="14" t="s">
        <v>68</v>
      </c>
      <c r="L204" s="14" t="s">
        <v>53</v>
      </c>
      <c r="M204" s="11">
        <f t="shared" si="1"/>
        <v>6</v>
      </c>
      <c r="N204" s="12" t="str">
        <f t="shared" si="2"/>
        <v>ALTA</v>
      </c>
    </row>
    <row r="205" ht="22.5" customHeight="1">
      <c r="A205" s="4" t="s">
        <v>30</v>
      </c>
      <c r="B205" s="4">
        <v>2021.0</v>
      </c>
      <c r="C205" s="4" t="s">
        <v>87</v>
      </c>
      <c r="D205" s="4" t="s">
        <v>703</v>
      </c>
      <c r="E205" s="4" t="str">
        <f>IFERROR(VLOOKUP(G205, 'Padronização'!A:C, 2, FALSE), "")</f>
        <v>✅</v>
      </c>
      <c r="F205" s="23" t="str">
        <f>IFERROR(VLOOKUP(G205, 'Padronização'!A:C, 3, FALSE), "")</f>
        <v>Resposta humana a alertas e decisões</v>
      </c>
      <c r="G205" s="4" t="s">
        <v>50</v>
      </c>
      <c r="H205" s="24" t="s">
        <v>383</v>
      </c>
      <c r="I205" s="14" t="s">
        <v>51</v>
      </c>
      <c r="J205" s="14" t="s">
        <v>53</v>
      </c>
      <c r="K205" s="14" t="s">
        <v>82</v>
      </c>
      <c r="L205" s="14" t="s">
        <v>53</v>
      </c>
      <c r="M205" s="11">
        <f t="shared" si="1"/>
        <v>9</v>
      </c>
      <c r="N205" s="12" t="str">
        <f t="shared" si="2"/>
        <v>ALTÍSSIMA</v>
      </c>
    </row>
    <row r="206" ht="22.5" customHeight="1">
      <c r="A206" s="4" t="s">
        <v>30</v>
      </c>
      <c r="B206" s="4">
        <v>2021.0</v>
      </c>
      <c r="C206" s="4" t="s">
        <v>33</v>
      </c>
      <c r="D206" s="4" t="s">
        <v>706</v>
      </c>
      <c r="E206" s="4" t="str">
        <f>IFERROR(VLOOKUP(G206, 'Padronização'!A:C, 2, FALSE), "")</f>
        <v>✅</v>
      </c>
      <c r="F206" s="23" t="str">
        <f>IFERROR(VLOOKUP(G206, 'Padronização'!A:C, 3, FALSE), "")</f>
        <v>ABM/MAS focado em comportamento humano cognitivo</v>
      </c>
      <c r="G206" s="13" t="s">
        <v>47</v>
      </c>
      <c r="H206" s="24" t="s">
        <v>125</v>
      </c>
      <c r="I206" s="14" t="s">
        <v>51</v>
      </c>
      <c r="J206" s="14" t="s">
        <v>100</v>
      </c>
      <c r="K206" s="14" t="s">
        <v>94</v>
      </c>
      <c r="L206" s="14" t="s">
        <v>53</v>
      </c>
      <c r="M206" s="11">
        <f t="shared" si="1"/>
        <v>6</v>
      </c>
      <c r="N206" s="12" t="str">
        <f t="shared" si="2"/>
        <v>ALTA</v>
      </c>
    </row>
    <row r="207" ht="22.5" customHeight="1">
      <c r="A207" s="4" t="s">
        <v>30</v>
      </c>
      <c r="B207" s="4">
        <v>2021.0</v>
      </c>
      <c r="C207" s="4" t="s">
        <v>33</v>
      </c>
      <c r="D207" s="4" t="s">
        <v>708</v>
      </c>
      <c r="E207" s="4" t="str">
        <f>IFERROR(VLOOKUP(G207, 'Padronização'!A:C, 2, FALSE), "")</f>
        <v>✅</v>
      </c>
      <c r="F207" s="23" t="str">
        <f>IFERROR(VLOOKUP(G207, 'Padronização'!A:C, 3, FALSE), "")</f>
        <v>ABM/MAS focado em comportamento humano cognitivo</v>
      </c>
      <c r="G207" s="4" t="s">
        <v>47</v>
      </c>
      <c r="H207" s="24" t="s">
        <v>49</v>
      </c>
      <c r="I207" s="14" t="s">
        <v>51</v>
      </c>
      <c r="J207" s="14" t="s">
        <v>100</v>
      </c>
      <c r="K207" s="14" t="s">
        <v>83</v>
      </c>
      <c r="L207" s="14" t="s">
        <v>53</v>
      </c>
      <c r="M207" s="11">
        <f t="shared" si="1"/>
        <v>6</v>
      </c>
      <c r="N207" s="12" t="str">
        <f t="shared" si="2"/>
        <v>ALTA</v>
      </c>
    </row>
    <row r="208" ht="22.5" customHeight="1">
      <c r="A208" s="4" t="s">
        <v>30</v>
      </c>
      <c r="B208" s="4">
        <v>2021.0</v>
      </c>
      <c r="C208" s="4" t="s">
        <v>33</v>
      </c>
      <c r="D208" s="4" t="s">
        <v>709</v>
      </c>
      <c r="E208" s="4" t="str">
        <f>IFERROR(VLOOKUP(G208, 'Padronização'!A:C, 2, FALSE), "")</f>
        <v>✅</v>
      </c>
      <c r="F208" s="23" t="str">
        <f>IFERROR(VLOOKUP(G208, 'Padronização'!A:C, 3, FALSE), "")</f>
        <v>ABM/MAS aplicado à evacuação</v>
      </c>
      <c r="G208" s="4" t="s">
        <v>45</v>
      </c>
      <c r="H208" s="24" t="s">
        <v>125</v>
      </c>
      <c r="I208" s="14" t="s">
        <v>51</v>
      </c>
      <c r="J208" s="14" t="s">
        <v>100</v>
      </c>
      <c r="K208" s="14" t="s">
        <v>68</v>
      </c>
      <c r="L208" s="14" t="s">
        <v>53</v>
      </c>
      <c r="M208" s="11">
        <f t="shared" si="1"/>
        <v>8</v>
      </c>
      <c r="N208" s="12" t="str">
        <f t="shared" si="2"/>
        <v>ALTÍSSIMA</v>
      </c>
    </row>
    <row r="209" ht="22.5" customHeight="1">
      <c r="A209" s="4" t="s">
        <v>30</v>
      </c>
      <c r="B209" s="4">
        <v>2021.0</v>
      </c>
      <c r="C209" s="4" t="s">
        <v>33</v>
      </c>
      <c r="D209" s="4" t="s">
        <v>711</v>
      </c>
      <c r="E209" s="4" t="str">
        <f>IFERROR(VLOOKUP(G209, 'Padronização'!A:C, 2, FALSE), "")</f>
        <v>✅</v>
      </c>
      <c r="F209" s="23" t="str">
        <f>IFERROR(VLOOKUP(G209, 'Padronização'!A:C, 3, FALSE), "")</f>
        <v>ABM/MAS aplicado à evacuação</v>
      </c>
      <c r="G209" s="4" t="s">
        <v>45</v>
      </c>
      <c r="H209" s="24" t="s">
        <v>110</v>
      </c>
      <c r="I209" s="14" t="s">
        <v>66</v>
      </c>
      <c r="J209" s="14" t="s">
        <v>100</v>
      </c>
      <c r="K209" s="14" t="s">
        <v>68</v>
      </c>
      <c r="L209" s="14" t="s">
        <v>53</v>
      </c>
      <c r="M209" s="11">
        <f t="shared" si="1"/>
        <v>6</v>
      </c>
      <c r="N209" s="12" t="str">
        <f t="shared" si="2"/>
        <v>ALTA</v>
      </c>
    </row>
    <row r="210" ht="22.5" customHeight="1">
      <c r="A210" s="4" t="s">
        <v>30</v>
      </c>
      <c r="B210" s="4">
        <v>2021.0</v>
      </c>
      <c r="C210" s="4" t="s">
        <v>33</v>
      </c>
      <c r="D210" s="4" t="s">
        <v>713</v>
      </c>
      <c r="E210" s="4" t="str">
        <f>IFERROR(VLOOKUP(G210, 'Padronização'!A:C, 2, FALSE), "")</f>
        <v>✅</v>
      </c>
      <c r="F210" s="23" t="str">
        <f>IFERROR(VLOOKUP(G210, 'Padronização'!A:C, 3, FALSE), "")</f>
        <v>Resposta humana a alertas e decisões</v>
      </c>
      <c r="G210" s="4" t="s">
        <v>50</v>
      </c>
      <c r="H210" s="24" t="s">
        <v>49</v>
      </c>
      <c r="I210" s="14" t="s">
        <v>51</v>
      </c>
      <c r="J210" s="14" t="s">
        <v>100</v>
      </c>
      <c r="K210" s="14" t="s">
        <v>94</v>
      </c>
      <c r="L210" s="14" t="s">
        <v>53</v>
      </c>
      <c r="M210" s="11">
        <f t="shared" si="1"/>
        <v>6</v>
      </c>
      <c r="N210" s="12" t="str">
        <f t="shared" si="2"/>
        <v>ALTA</v>
      </c>
    </row>
    <row r="211" ht="22.5" customHeight="1">
      <c r="A211" s="4" t="s">
        <v>30</v>
      </c>
      <c r="B211" s="4">
        <v>2021.0</v>
      </c>
      <c r="C211" s="4" t="s">
        <v>33</v>
      </c>
      <c r="D211" s="4" t="s">
        <v>715</v>
      </c>
      <c r="E211" s="4" t="str">
        <f>IFERROR(VLOOKUP(G211, 'Padronização'!A:C, 2, FALSE), "")</f>
        <v>✅</v>
      </c>
      <c r="F211" s="23" t="str">
        <f>IFERROR(VLOOKUP(G211, 'Padronização'!A:C, 3, FALSE), "")</f>
        <v>ABM/MAS aplicado à evacuação</v>
      </c>
      <c r="G211" s="4" t="s">
        <v>45</v>
      </c>
      <c r="H211" s="24" t="s">
        <v>65</v>
      </c>
      <c r="I211" s="14" t="s">
        <v>66</v>
      </c>
      <c r="J211" s="14" t="s">
        <v>100</v>
      </c>
      <c r="K211" s="14" t="s">
        <v>94</v>
      </c>
      <c r="L211" s="14" t="s">
        <v>53</v>
      </c>
      <c r="M211" s="11">
        <f t="shared" si="1"/>
        <v>4</v>
      </c>
      <c r="N211" s="12" t="str">
        <f t="shared" si="2"/>
        <v>MÉDIA</v>
      </c>
    </row>
    <row r="212" ht="22.5" customHeight="1">
      <c r="A212" s="4" t="s">
        <v>30</v>
      </c>
      <c r="B212" s="4">
        <v>2021.0</v>
      </c>
      <c r="C212" s="4" t="s">
        <v>33</v>
      </c>
      <c r="D212" s="4" t="s">
        <v>716</v>
      </c>
      <c r="E212" s="4" t="str">
        <f>IFERROR(VLOOKUP(G212, 'Padronização'!A:C, 2, FALSE), "")</f>
        <v>✅</v>
      </c>
      <c r="F212" s="23" t="str">
        <f>IFERROR(VLOOKUP(G212, 'Padronização'!A:C, 3, FALSE), "")</f>
        <v>ABM/MAS aplicado à evacuação</v>
      </c>
      <c r="G212" s="4" t="s">
        <v>45</v>
      </c>
      <c r="H212" s="24" t="s">
        <v>456</v>
      </c>
      <c r="I212" s="14" t="s">
        <v>51</v>
      </c>
      <c r="J212" s="14" t="s">
        <v>100</v>
      </c>
      <c r="K212" s="14" t="s">
        <v>68</v>
      </c>
      <c r="L212" s="14" t="s">
        <v>53</v>
      </c>
      <c r="M212" s="11">
        <f t="shared" si="1"/>
        <v>8</v>
      </c>
      <c r="N212" s="12" t="str">
        <f t="shared" si="2"/>
        <v>ALTÍSSIMA</v>
      </c>
    </row>
    <row r="213" ht="22.5" customHeight="1">
      <c r="A213" s="4" t="s">
        <v>30</v>
      </c>
      <c r="B213" s="4">
        <v>2021.0</v>
      </c>
      <c r="C213" s="4" t="s">
        <v>33</v>
      </c>
      <c r="D213" s="4" t="s">
        <v>718</v>
      </c>
      <c r="E213" s="4" t="str">
        <f>IFERROR(VLOOKUP(G213, 'Padronização'!A:C, 2, FALSE), "")</f>
        <v>✅</v>
      </c>
      <c r="F213" s="23" t="str">
        <f>IFERROR(VLOOKUP(G213, 'Padronização'!A:C, 3, FALSE), "")</f>
        <v>ABM/MAS aplicado à evacuação</v>
      </c>
      <c r="G213" s="4" t="s">
        <v>45</v>
      </c>
      <c r="H213" s="24" t="s">
        <v>377</v>
      </c>
      <c r="I213" s="14" t="s">
        <v>51</v>
      </c>
      <c r="J213" s="14" t="s">
        <v>53</v>
      </c>
      <c r="K213" s="14" t="s">
        <v>94</v>
      </c>
      <c r="L213" s="14" t="s">
        <v>53</v>
      </c>
      <c r="M213" s="11">
        <f t="shared" si="1"/>
        <v>7</v>
      </c>
      <c r="N213" s="12" t="str">
        <f t="shared" si="2"/>
        <v>ALTA</v>
      </c>
    </row>
    <row r="214" ht="22.5" customHeight="1">
      <c r="A214" s="4" t="s">
        <v>30</v>
      </c>
      <c r="B214" s="4">
        <v>2021.0</v>
      </c>
      <c r="C214" s="4" t="s">
        <v>87</v>
      </c>
      <c r="D214" s="4" t="s">
        <v>719</v>
      </c>
      <c r="E214" s="4" t="str">
        <f>IFERROR(VLOOKUP(G214, 'Padronização'!A:C, 2, FALSE), "")</f>
        <v>✅</v>
      </c>
      <c r="F214" s="23" t="str">
        <f>IFERROR(VLOOKUP(G214, 'Padronização'!A:C, 3, FALSE), "")</f>
        <v>ABM/MAS aplicado à evacuação</v>
      </c>
      <c r="G214" s="4" t="s">
        <v>45</v>
      </c>
      <c r="H214" s="24" t="s">
        <v>65</v>
      </c>
      <c r="I214" s="14" t="s">
        <v>66</v>
      </c>
      <c r="J214" s="14" t="s">
        <v>100</v>
      </c>
      <c r="K214" s="14" t="s">
        <v>83</v>
      </c>
      <c r="L214" s="14" t="s">
        <v>53</v>
      </c>
      <c r="M214" s="11">
        <f t="shared" si="1"/>
        <v>4</v>
      </c>
      <c r="N214" s="12" t="str">
        <f t="shared" si="2"/>
        <v>MÉDIA</v>
      </c>
    </row>
    <row r="215" ht="22.5" customHeight="1">
      <c r="A215" s="4" t="s">
        <v>30</v>
      </c>
      <c r="B215" s="4">
        <v>2021.0</v>
      </c>
      <c r="C215" s="4" t="s">
        <v>33</v>
      </c>
      <c r="D215" s="4" t="s">
        <v>721</v>
      </c>
      <c r="E215" s="4" t="str">
        <f>IFERROR(VLOOKUP(G215, 'Padronização'!A:C, 2, FALSE), "")</f>
        <v>✅</v>
      </c>
      <c r="F215" s="23" t="str">
        <f>IFERROR(VLOOKUP(G215, 'Padronização'!A:C, 3, FALSE), "")</f>
        <v>ABM/MAS focado em comportamento humano cognitivo</v>
      </c>
      <c r="G215" s="13" t="s">
        <v>47</v>
      </c>
      <c r="H215" s="24" t="s">
        <v>65</v>
      </c>
      <c r="I215" s="14" t="s">
        <v>51</v>
      </c>
      <c r="J215" s="14" t="s">
        <v>100</v>
      </c>
      <c r="K215" s="14" t="s">
        <v>68</v>
      </c>
      <c r="L215" s="14" t="s">
        <v>53</v>
      </c>
      <c r="M215" s="11">
        <f t="shared" si="1"/>
        <v>8</v>
      </c>
      <c r="N215" s="12" t="str">
        <f t="shared" si="2"/>
        <v>ALTÍSSIMA</v>
      </c>
    </row>
    <row r="216" ht="22.5" customHeight="1">
      <c r="A216" s="4" t="s">
        <v>30</v>
      </c>
      <c r="B216" s="4">
        <v>2021.0</v>
      </c>
      <c r="C216" s="4" t="s">
        <v>33</v>
      </c>
      <c r="D216" s="4" t="s">
        <v>723</v>
      </c>
      <c r="E216" s="4" t="str">
        <f>IFERROR(VLOOKUP(G216, 'Padronização'!A:C, 2, FALSE), "")</f>
        <v>✅</v>
      </c>
      <c r="F216" s="23" t="str">
        <f>IFERROR(VLOOKUP(G216, 'Padronização'!A:C, 3, FALSE), "")</f>
        <v>ABM/MAS aplicado à evacuação</v>
      </c>
      <c r="G216" s="4" t="s">
        <v>45</v>
      </c>
      <c r="H216" s="24" t="s">
        <v>65</v>
      </c>
      <c r="I216" s="14" t="s">
        <v>51</v>
      </c>
      <c r="J216" s="14" t="s">
        <v>100</v>
      </c>
      <c r="K216" s="14" t="s">
        <v>94</v>
      </c>
      <c r="L216" s="14" t="s">
        <v>53</v>
      </c>
      <c r="M216" s="11">
        <f t="shared" si="1"/>
        <v>6</v>
      </c>
      <c r="N216" s="12" t="str">
        <f t="shared" si="2"/>
        <v>ALTA</v>
      </c>
    </row>
    <row r="217" ht="22.5" customHeight="1">
      <c r="A217" s="4" t="s">
        <v>30</v>
      </c>
      <c r="B217" s="4">
        <v>2021.0</v>
      </c>
      <c r="C217" s="4" t="s">
        <v>33</v>
      </c>
      <c r="D217" s="4" t="s">
        <v>725</v>
      </c>
      <c r="E217" s="4" t="str">
        <f>IFERROR(VLOOKUP(G217, 'Padronização'!A:C, 2, FALSE), "")</f>
        <v>✅</v>
      </c>
      <c r="F217" s="23" t="str">
        <f>IFERROR(VLOOKUP(G217, 'Padronização'!A:C, 3, FALSE), "")</f>
        <v>ABM/MAS aplicado à evacuação</v>
      </c>
      <c r="G217" s="4" t="s">
        <v>45</v>
      </c>
      <c r="H217" s="24" t="s">
        <v>110</v>
      </c>
      <c r="I217" s="14" t="s">
        <v>51</v>
      </c>
      <c r="J217" s="14" t="s">
        <v>100</v>
      </c>
      <c r="K217" s="14" t="s">
        <v>68</v>
      </c>
      <c r="L217" s="14" t="s">
        <v>53</v>
      </c>
      <c r="M217" s="11">
        <f t="shared" si="1"/>
        <v>8</v>
      </c>
      <c r="N217" s="12" t="str">
        <f t="shared" si="2"/>
        <v>ALTÍSSIMA</v>
      </c>
    </row>
    <row r="218" ht="22.5" customHeight="1">
      <c r="A218" s="4" t="s">
        <v>30</v>
      </c>
      <c r="B218" s="4">
        <v>2021.0</v>
      </c>
      <c r="C218" s="4" t="s">
        <v>33</v>
      </c>
      <c r="D218" s="4" t="s">
        <v>728</v>
      </c>
      <c r="E218" s="4" t="str">
        <f>IFERROR(VLOOKUP(G218, 'Padronização'!A:C, 2, FALSE), "")</f>
        <v>✅</v>
      </c>
      <c r="F218" s="23" t="str">
        <f>IFERROR(VLOOKUP(G218, 'Padronização'!A:C, 3, FALSE), "")</f>
        <v>ABM/MAS aplicado à evacuação</v>
      </c>
      <c r="G218" s="4" t="s">
        <v>45</v>
      </c>
      <c r="H218" s="24" t="s">
        <v>49</v>
      </c>
      <c r="I218" s="14" t="s">
        <v>51</v>
      </c>
      <c r="J218" s="14" t="s">
        <v>100</v>
      </c>
      <c r="K218" s="14" t="s">
        <v>68</v>
      </c>
      <c r="L218" s="14" t="s">
        <v>53</v>
      </c>
      <c r="M218" s="11">
        <f t="shared" si="1"/>
        <v>8</v>
      </c>
      <c r="N218" s="12" t="str">
        <f t="shared" si="2"/>
        <v>ALTÍSSIMA</v>
      </c>
    </row>
    <row r="219" ht="22.5" customHeight="1">
      <c r="A219" s="4" t="s">
        <v>30</v>
      </c>
      <c r="B219" s="4">
        <v>2021.0</v>
      </c>
      <c r="C219" s="4" t="s">
        <v>33</v>
      </c>
      <c r="D219" s="4" t="s">
        <v>730</v>
      </c>
      <c r="E219" s="4" t="str">
        <f>IFERROR(VLOOKUP(G219, 'Padronização'!A:C, 2, FALSE), "")</f>
        <v>✅</v>
      </c>
      <c r="F219" s="23" t="str">
        <f>IFERROR(VLOOKUP(G219, 'Padronização'!A:C, 3, FALSE), "")</f>
        <v>ABM/MAS focado em comportamento humano cognitivo</v>
      </c>
      <c r="G219" s="4" t="s">
        <v>47</v>
      </c>
      <c r="H219" s="24" t="s">
        <v>286</v>
      </c>
      <c r="I219" s="14" t="s">
        <v>51</v>
      </c>
      <c r="J219" s="14" t="s">
        <v>53</v>
      </c>
      <c r="K219" s="14" t="s">
        <v>67</v>
      </c>
      <c r="L219" s="14" t="s">
        <v>53</v>
      </c>
      <c r="M219" s="11">
        <f t="shared" si="1"/>
        <v>9</v>
      </c>
      <c r="N219" s="12" t="str">
        <f t="shared" si="2"/>
        <v>ALTÍSSIMA</v>
      </c>
    </row>
    <row r="220" ht="22.5" customHeight="1">
      <c r="A220" s="4" t="s">
        <v>30</v>
      </c>
      <c r="B220" s="4">
        <v>2021.0</v>
      </c>
      <c r="C220" s="4" t="s">
        <v>33</v>
      </c>
      <c r="D220" s="4" t="s">
        <v>732</v>
      </c>
      <c r="E220" s="4" t="str">
        <f>IFERROR(VLOOKUP(G220, 'Padronização'!A:C, 2, FALSE), "")</f>
        <v>✅</v>
      </c>
      <c r="F220" s="23" t="str">
        <f>IFERROR(VLOOKUP(G220, 'Padronização'!A:C, 3, FALSE), "")</f>
        <v>Resposta humana a alertas e decisões</v>
      </c>
      <c r="G220" s="4" t="s">
        <v>50</v>
      </c>
      <c r="H220" s="24" t="s">
        <v>65</v>
      </c>
      <c r="I220" s="14" t="s">
        <v>66</v>
      </c>
      <c r="J220" s="14" t="s">
        <v>53</v>
      </c>
      <c r="K220" s="14" t="s">
        <v>68</v>
      </c>
      <c r="L220" s="14" t="s">
        <v>53</v>
      </c>
      <c r="M220" s="11">
        <f t="shared" si="1"/>
        <v>7</v>
      </c>
      <c r="N220" s="12" t="str">
        <f t="shared" si="2"/>
        <v>ALTA</v>
      </c>
    </row>
    <row r="221" ht="22.5" customHeight="1">
      <c r="A221" s="4" t="s">
        <v>30</v>
      </c>
      <c r="B221" s="4">
        <v>2021.0</v>
      </c>
      <c r="C221" s="4" t="s">
        <v>87</v>
      </c>
      <c r="D221" s="22" t="s">
        <v>734</v>
      </c>
      <c r="E221" s="4" t="str">
        <f>IFERROR(VLOOKUP(G221, 'Padronização'!A:C, 2, FALSE), "")</f>
        <v>✅</v>
      </c>
      <c r="F221" s="23" t="str">
        <f>IFERROR(VLOOKUP(G221, 'Padronização'!A:C, 3, FALSE), "")</f>
        <v>ABM/MAS aplicado à evacuação</v>
      </c>
      <c r="G221" s="4" t="s">
        <v>45</v>
      </c>
      <c r="H221" s="24" t="s">
        <v>65</v>
      </c>
      <c r="I221" s="14" t="s">
        <v>66</v>
      </c>
      <c r="J221" s="14" t="s">
        <v>100</v>
      </c>
      <c r="K221" s="14" t="s">
        <v>298</v>
      </c>
      <c r="L221" s="14" t="s">
        <v>53</v>
      </c>
      <c r="M221" s="11">
        <f t="shared" si="1"/>
        <v>6</v>
      </c>
      <c r="N221" s="12" t="str">
        <f t="shared" si="2"/>
        <v>ALTA</v>
      </c>
    </row>
    <row r="222" ht="22.5" customHeight="1">
      <c r="A222" s="4" t="s">
        <v>30</v>
      </c>
      <c r="B222" s="4">
        <v>2021.0</v>
      </c>
      <c r="C222" s="4" t="s">
        <v>87</v>
      </c>
      <c r="D222" s="4" t="s">
        <v>736</v>
      </c>
      <c r="E222" s="4" t="str">
        <f>IFERROR(VLOOKUP(G222, 'Padronização'!A:C, 2, FALSE), "")</f>
        <v>✅</v>
      </c>
      <c r="F222" s="23" t="str">
        <f>IFERROR(VLOOKUP(G222, 'Padronização'!A:C, 3, FALSE), "")</f>
        <v>ABM/MAS aplicado à evacuação</v>
      </c>
      <c r="G222" s="4" t="s">
        <v>45</v>
      </c>
      <c r="H222" s="24" t="s">
        <v>110</v>
      </c>
      <c r="I222" s="14" t="s">
        <v>66</v>
      </c>
      <c r="J222" s="14" t="s">
        <v>53</v>
      </c>
      <c r="K222" s="14" t="s">
        <v>94</v>
      </c>
      <c r="L222" s="14" t="s">
        <v>53</v>
      </c>
      <c r="M222" s="11">
        <f t="shared" si="1"/>
        <v>5</v>
      </c>
      <c r="N222" s="12" t="str">
        <f t="shared" si="2"/>
        <v>MÉDIA</v>
      </c>
    </row>
    <row r="223" ht="22.5" customHeight="1">
      <c r="A223" s="4" t="s">
        <v>30</v>
      </c>
      <c r="B223" s="4">
        <v>2021.0</v>
      </c>
      <c r="C223" s="4" t="s">
        <v>33</v>
      </c>
      <c r="D223" s="4" t="s">
        <v>737</v>
      </c>
      <c r="E223" s="4" t="str">
        <f>IFERROR(VLOOKUP(G223, 'Padronização'!A:C, 2, FALSE), "")</f>
        <v>✅</v>
      </c>
      <c r="F223" s="23" t="str">
        <f>IFERROR(VLOOKUP(G223, 'Padronização'!A:C, 3, FALSE), "")</f>
        <v>ABM/MAS aplicado à evacuação</v>
      </c>
      <c r="G223" s="4" t="s">
        <v>45</v>
      </c>
      <c r="H223" s="24" t="s">
        <v>125</v>
      </c>
      <c r="I223" s="14" t="s">
        <v>51</v>
      </c>
      <c r="J223" s="14" t="s">
        <v>100</v>
      </c>
      <c r="K223" s="14" t="s">
        <v>94</v>
      </c>
      <c r="L223" s="14" t="s">
        <v>53</v>
      </c>
      <c r="M223" s="11">
        <f t="shared" si="1"/>
        <v>6</v>
      </c>
      <c r="N223" s="12" t="str">
        <f t="shared" si="2"/>
        <v>ALTA</v>
      </c>
    </row>
    <row r="224" ht="22.5" customHeight="1">
      <c r="A224" s="4" t="s">
        <v>30</v>
      </c>
      <c r="B224" s="4">
        <v>2021.0</v>
      </c>
      <c r="C224" s="4" t="s">
        <v>33</v>
      </c>
      <c r="D224" s="4" t="s">
        <v>738</v>
      </c>
      <c r="E224" s="4" t="str">
        <f>IFERROR(VLOOKUP(G224, 'Padronização'!A:C, 2, FALSE), "")</f>
        <v>✅</v>
      </c>
      <c r="F224" s="23" t="str">
        <f>IFERROR(VLOOKUP(G224, 'Padronização'!A:C, 3, FALSE), "")</f>
        <v>ABM/MAS aplicado à evacuação</v>
      </c>
      <c r="G224" s="4" t="s">
        <v>45</v>
      </c>
      <c r="H224" s="24" t="s">
        <v>65</v>
      </c>
      <c r="I224" s="14" t="s">
        <v>66</v>
      </c>
      <c r="J224" s="14" t="s">
        <v>100</v>
      </c>
      <c r="K224" s="14" t="s">
        <v>94</v>
      </c>
      <c r="L224" s="14" t="s">
        <v>53</v>
      </c>
      <c r="M224" s="11">
        <f t="shared" si="1"/>
        <v>4</v>
      </c>
      <c r="N224" s="12" t="str">
        <f t="shared" si="2"/>
        <v>MÉDIA</v>
      </c>
    </row>
    <row r="225" ht="22.5" customHeight="1">
      <c r="A225" s="4" t="s">
        <v>30</v>
      </c>
      <c r="B225" s="4">
        <v>2021.0</v>
      </c>
      <c r="C225" s="4" t="s">
        <v>33</v>
      </c>
      <c r="D225" s="4" t="s">
        <v>740</v>
      </c>
      <c r="E225" s="4" t="str">
        <f>IFERROR(VLOOKUP(G225, 'Padronização'!A:C, 2, FALSE), "")</f>
        <v>✅</v>
      </c>
      <c r="F225" s="23" t="str">
        <f>IFERROR(VLOOKUP(G225, 'Padronização'!A:C, 3, FALSE), "")</f>
        <v>ABM/MAS aplicado à evacuação</v>
      </c>
      <c r="G225" s="4" t="s">
        <v>45</v>
      </c>
      <c r="H225" s="24" t="s">
        <v>65</v>
      </c>
      <c r="I225" s="14" t="s">
        <v>66</v>
      </c>
      <c r="J225" s="14" t="s">
        <v>53</v>
      </c>
      <c r="K225" s="14" t="s">
        <v>68</v>
      </c>
      <c r="L225" s="14" t="s">
        <v>53</v>
      </c>
      <c r="M225" s="11">
        <f t="shared" si="1"/>
        <v>7</v>
      </c>
      <c r="N225" s="12" t="str">
        <f t="shared" si="2"/>
        <v>ALTA</v>
      </c>
    </row>
    <row r="226" ht="22.5" customHeight="1">
      <c r="A226" s="4" t="s">
        <v>30</v>
      </c>
      <c r="B226" s="4">
        <v>2021.0</v>
      </c>
      <c r="C226" s="4" t="s">
        <v>33</v>
      </c>
      <c r="D226" s="4" t="s">
        <v>742</v>
      </c>
      <c r="E226" s="4" t="str">
        <f>IFERROR(VLOOKUP(G226, 'Padronização'!A:C, 2, FALSE), "")</f>
        <v>✅</v>
      </c>
      <c r="F226" s="23" t="str">
        <f>IFERROR(VLOOKUP(G226, 'Padronização'!A:C, 3, FALSE), "")</f>
        <v>ABM/MAS aplicado à evacuação</v>
      </c>
      <c r="G226" s="4" t="s">
        <v>45</v>
      </c>
      <c r="H226" s="24" t="s">
        <v>154</v>
      </c>
      <c r="I226" s="14" t="s">
        <v>51</v>
      </c>
      <c r="J226" s="14" t="s">
        <v>100</v>
      </c>
      <c r="K226" s="14" t="s">
        <v>94</v>
      </c>
      <c r="L226" s="14" t="s">
        <v>53</v>
      </c>
      <c r="M226" s="11">
        <f t="shared" si="1"/>
        <v>6</v>
      </c>
      <c r="N226" s="12" t="str">
        <f t="shared" si="2"/>
        <v>ALTA</v>
      </c>
    </row>
    <row r="227" ht="22.5" customHeight="1">
      <c r="A227" s="4" t="s">
        <v>30</v>
      </c>
      <c r="B227" s="4">
        <v>2021.0</v>
      </c>
      <c r="C227" s="4" t="s">
        <v>87</v>
      </c>
      <c r="D227" s="4" t="s">
        <v>745</v>
      </c>
      <c r="E227" s="4" t="str">
        <f>IFERROR(VLOOKUP(G227, 'Padronização'!A:C, 2, FALSE), "")</f>
        <v>✅</v>
      </c>
      <c r="F227" s="23" t="str">
        <f>IFERROR(VLOOKUP(G227, 'Padronização'!A:C, 3, FALSE), "")</f>
        <v>ABM/MAS focado em comportamento humano cognitivo</v>
      </c>
      <c r="G227" s="4" t="s">
        <v>47</v>
      </c>
      <c r="H227" s="24" t="s">
        <v>65</v>
      </c>
      <c r="I227" s="14" t="s">
        <v>51</v>
      </c>
      <c r="J227" s="14" t="s">
        <v>53</v>
      </c>
      <c r="K227" s="14" t="s">
        <v>83</v>
      </c>
      <c r="L227" s="14" t="s">
        <v>53</v>
      </c>
      <c r="M227" s="11">
        <f t="shared" si="1"/>
        <v>7</v>
      </c>
      <c r="N227" s="12" t="str">
        <f t="shared" si="2"/>
        <v>ALTA</v>
      </c>
    </row>
    <row r="228" ht="22.5" customHeight="1">
      <c r="A228" s="4" t="s">
        <v>30</v>
      </c>
      <c r="B228" s="4">
        <v>2021.0</v>
      </c>
      <c r="C228" s="4" t="s">
        <v>33</v>
      </c>
      <c r="D228" s="4" t="s">
        <v>748</v>
      </c>
      <c r="E228" s="4" t="str">
        <f>IFERROR(VLOOKUP(G228, 'Padronização'!A:C, 2, FALSE), "")</f>
        <v>✅</v>
      </c>
      <c r="F228" s="23" t="str">
        <f>IFERROR(VLOOKUP(G228, 'Padronização'!A:C, 3, FALSE), "")</f>
        <v>ABM/MAS focado em comportamento humano cognitivo</v>
      </c>
      <c r="G228" s="13" t="s">
        <v>47</v>
      </c>
      <c r="H228" s="24" t="s">
        <v>154</v>
      </c>
      <c r="I228" s="14" t="s">
        <v>51</v>
      </c>
      <c r="J228" s="14" t="s">
        <v>100</v>
      </c>
      <c r="K228" s="14" t="s">
        <v>83</v>
      </c>
      <c r="L228" s="14" t="s">
        <v>53</v>
      </c>
      <c r="M228" s="11">
        <f t="shared" si="1"/>
        <v>6</v>
      </c>
      <c r="N228" s="12" t="str">
        <f t="shared" si="2"/>
        <v>ALTA</v>
      </c>
    </row>
    <row r="229" ht="22.5" customHeight="1">
      <c r="A229" s="4" t="s">
        <v>30</v>
      </c>
      <c r="B229" s="4">
        <v>2021.0</v>
      </c>
      <c r="C229" s="4" t="s">
        <v>87</v>
      </c>
      <c r="D229" s="4" t="s">
        <v>752</v>
      </c>
      <c r="E229" s="4" t="str">
        <f>IFERROR(VLOOKUP(G229, 'Padronização'!A:C, 2, FALSE), "")</f>
        <v>✅</v>
      </c>
      <c r="F229" s="23" t="str">
        <f>IFERROR(VLOOKUP(G229, 'Padronização'!A:C, 3, FALSE), "")</f>
        <v>ABM/MAS aplicado à evacuação</v>
      </c>
      <c r="G229" s="4" t="s">
        <v>45</v>
      </c>
      <c r="H229" s="24" t="s">
        <v>154</v>
      </c>
      <c r="I229" s="14" t="s">
        <v>51</v>
      </c>
      <c r="J229" s="14" t="s">
        <v>100</v>
      </c>
      <c r="K229" s="14" t="s">
        <v>83</v>
      </c>
      <c r="L229" s="14" t="s">
        <v>53</v>
      </c>
      <c r="M229" s="11">
        <f t="shared" si="1"/>
        <v>6</v>
      </c>
      <c r="N229" s="12" t="str">
        <f t="shared" si="2"/>
        <v>ALTA</v>
      </c>
    </row>
    <row r="230" ht="22.5" customHeight="1">
      <c r="A230" s="4" t="s">
        <v>30</v>
      </c>
      <c r="B230" s="4">
        <v>2021.0</v>
      </c>
      <c r="C230" s="4" t="s">
        <v>87</v>
      </c>
      <c r="D230" s="4" t="s">
        <v>755</v>
      </c>
      <c r="E230" s="4" t="str">
        <f>IFERROR(VLOOKUP(G230, 'Padronização'!A:C, 2, FALSE), "")</f>
        <v>✅</v>
      </c>
      <c r="F230" s="23" t="str">
        <f>IFERROR(VLOOKUP(G230, 'Padronização'!A:C, 3, FALSE), "")</f>
        <v>ABM/MAS aplicado à evacuação</v>
      </c>
      <c r="G230" s="4" t="s">
        <v>45</v>
      </c>
      <c r="H230" s="24" t="s">
        <v>115</v>
      </c>
      <c r="I230" s="12"/>
      <c r="J230" s="12"/>
      <c r="K230" s="12"/>
      <c r="L230" s="14" t="s">
        <v>61</v>
      </c>
      <c r="M230" s="11">
        <f t="shared" si="1"/>
        <v>-10</v>
      </c>
      <c r="N230" s="12" t="str">
        <f t="shared" si="2"/>
        <v>EXCLUIR</v>
      </c>
    </row>
    <row r="231" ht="22.5" customHeight="1">
      <c r="A231" s="4" t="s">
        <v>30</v>
      </c>
      <c r="B231" s="4">
        <v>2021.0</v>
      </c>
      <c r="C231" s="4" t="s">
        <v>87</v>
      </c>
      <c r="D231" s="4" t="s">
        <v>757</v>
      </c>
      <c r="E231" s="4" t="str">
        <f>IFERROR(VLOOKUP(G231, 'Padronização'!A:C, 2, FALSE), "")</f>
        <v>✅</v>
      </c>
      <c r="F231" s="23" t="str">
        <f>IFERROR(VLOOKUP(G231, 'Padronização'!A:C, 3, FALSE), "")</f>
        <v>ABM/MAS aplicado à evacuação</v>
      </c>
      <c r="G231" s="4" t="s">
        <v>45</v>
      </c>
      <c r="H231" s="24" t="s">
        <v>115</v>
      </c>
      <c r="I231" s="14"/>
      <c r="J231" s="14"/>
      <c r="K231" s="14"/>
      <c r="L231" s="14" t="s">
        <v>61</v>
      </c>
      <c r="M231" s="11">
        <f t="shared" si="1"/>
        <v>-10</v>
      </c>
      <c r="N231" s="12" t="str">
        <f t="shared" si="2"/>
        <v>EXCLUIR</v>
      </c>
    </row>
    <row r="232" ht="22.5" customHeight="1">
      <c r="A232" s="4" t="s">
        <v>30</v>
      </c>
      <c r="B232" s="4">
        <v>2021.0</v>
      </c>
      <c r="C232" s="4" t="s">
        <v>33</v>
      </c>
      <c r="D232" s="4" t="s">
        <v>759</v>
      </c>
      <c r="E232" s="4" t="str">
        <f>IFERROR(VLOOKUP(G232, 'Padronização'!A:C, 2, FALSE), "")</f>
        <v>✅</v>
      </c>
      <c r="F232" s="23" t="str">
        <f>IFERROR(VLOOKUP(G232, 'Padronização'!A:C, 3, FALSE), "")</f>
        <v>Resposta humana a alertas e decisões</v>
      </c>
      <c r="G232" s="4" t="s">
        <v>50</v>
      </c>
      <c r="H232" s="24" t="s">
        <v>286</v>
      </c>
      <c r="I232" s="14" t="s">
        <v>51</v>
      </c>
      <c r="J232" s="14" t="s">
        <v>53</v>
      </c>
      <c r="K232" s="14" t="s">
        <v>94</v>
      </c>
      <c r="L232" s="14" t="s">
        <v>53</v>
      </c>
      <c r="M232" s="11">
        <f t="shared" si="1"/>
        <v>7</v>
      </c>
      <c r="N232" s="12" t="str">
        <f t="shared" si="2"/>
        <v>ALTA</v>
      </c>
    </row>
    <row r="233" ht="22.5" customHeight="1">
      <c r="A233" s="4" t="s">
        <v>30</v>
      </c>
      <c r="B233" s="4">
        <v>2021.0</v>
      </c>
      <c r="C233" s="4" t="s">
        <v>33</v>
      </c>
      <c r="D233" s="4" t="s">
        <v>762</v>
      </c>
      <c r="E233" s="4" t="str">
        <f>IFERROR(VLOOKUP(G233, 'Padronização'!A:C, 2, FALSE), "")</f>
        <v>✅</v>
      </c>
      <c r="F233" s="23" t="str">
        <f>IFERROR(VLOOKUP(G233, 'Padronização'!A:C, 3, FALSE), "")</f>
        <v>Grupos vulneráveis em cenários de crise</v>
      </c>
      <c r="G233" s="13" t="s">
        <v>54</v>
      </c>
      <c r="H233" s="24" t="s">
        <v>49</v>
      </c>
      <c r="I233" s="14" t="s">
        <v>51</v>
      </c>
      <c r="J233" s="14" t="s">
        <v>100</v>
      </c>
      <c r="K233" s="14" t="s">
        <v>83</v>
      </c>
      <c r="L233" s="14" t="s">
        <v>53</v>
      </c>
      <c r="M233" s="11">
        <f t="shared" si="1"/>
        <v>6</v>
      </c>
      <c r="N233" s="12" t="str">
        <f t="shared" si="2"/>
        <v>ALTA</v>
      </c>
    </row>
    <row r="234" ht="22.5" customHeight="1">
      <c r="A234" s="4" t="s">
        <v>30</v>
      </c>
      <c r="B234" s="4">
        <v>2021.0</v>
      </c>
      <c r="C234" s="4" t="s">
        <v>33</v>
      </c>
      <c r="D234" s="34" t="s">
        <v>765</v>
      </c>
      <c r="E234" s="4" t="str">
        <f>IFERROR(VLOOKUP(G234, 'Padronização'!A:C, 2, FALSE), "")</f>
        <v>✅</v>
      </c>
      <c r="F234" s="23" t="str">
        <f>IFERROR(VLOOKUP(G234, 'Padronização'!A:C, 3, FALSE), "")</f>
        <v>ABM/MAS focado em comportamento humano cognitivo</v>
      </c>
      <c r="G234" s="4" t="s">
        <v>47</v>
      </c>
      <c r="H234" s="24" t="s">
        <v>115</v>
      </c>
      <c r="I234" s="12"/>
      <c r="J234" s="12"/>
      <c r="K234" s="12"/>
      <c r="L234" s="14" t="s">
        <v>61</v>
      </c>
      <c r="M234" s="11">
        <f t="shared" si="1"/>
        <v>-10</v>
      </c>
      <c r="N234" s="12" t="str">
        <f t="shared" si="2"/>
        <v>EXCLUIR</v>
      </c>
    </row>
    <row r="235" ht="22.5" customHeight="1">
      <c r="A235" s="4" t="s">
        <v>30</v>
      </c>
      <c r="B235" s="4">
        <v>2021.0</v>
      </c>
      <c r="C235" s="4" t="s">
        <v>33</v>
      </c>
      <c r="D235" s="4" t="s">
        <v>768</v>
      </c>
      <c r="E235" s="4" t="str">
        <f>IFERROR(VLOOKUP(G235, 'Padronização'!A:C, 2, FALSE), "")</f>
        <v>✅</v>
      </c>
      <c r="F235" s="23" t="str">
        <f>IFERROR(VLOOKUP(G235, 'Padronização'!A:C, 3, FALSE), "")</f>
        <v>Resposta humana a alertas e decisões</v>
      </c>
      <c r="G235" s="4" t="s">
        <v>50</v>
      </c>
      <c r="H235" s="24" t="s">
        <v>65</v>
      </c>
      <c r="I235" s="14" t="s">
        <v>51</v>
      </c>
      <c r="J235" s="14" t="s">
        <v>53</v>
      </c>
      <c r="K235" s="14" t="s">
        <v>83</v>
      </c>
      <c r="L235" s="14" t="s">
        <v>53</v>
      </c>
      <c r="M235" s="11">
        <f t="shared" si="1"/>
        <v>7</v>
      </c>
      <c r="N235" s="12" t="str">
        <f t="shared" si="2"/>
        <v>ALTA</v>
      </c>
    </row>
    <row r="236" ht="22.5" customHeight="1">
      <c r="A236" s="4" t="s">
        <v>30</v>
      </c>
      <c r="B236" s="4">
        <v>2020.0</v>
      </c>
      <c r="C236" s="4" t="s">
        <v>33</v>
      </c>
      <c r="D236" s="4" t="s">
        <v>775</v>
      </c>
      <c r="E236" s="4" t="str">
        <f>IFERROR(VLOOKUP(G236, 'Padronização'!A:C, 2, FALSE), "")</f>
        <v>✅</v>
      </c>
      <c r="F236" s="23" t="str">
        <f>IFERROR(VLOOKUP(G236, 'Padronização'!A:C, 3, FALSE), "")</f>
        <v>Resposta humana a alertas e decisões</v>
      </c>
      <c r="G236" s="13" t="s">
        <v>50</v>
      </c>
      <c r="H236" s="24" t="s">
        <v>180</v>
      </c>
      <c r="I236" s="14" t="s">
        <v>51</v>
      </c>
      <c r="J236" s="14" t="s">
        <v>100</v>
      </c>
      <c r="K236" s="14" t="s">
        <v>94</v>
      </c>
      <c r="L236" s="14" t="s">
        <v>53</v>
      </c>
      <c r="M236" s="11">
        <f t="shared" si="1"/>
        <v>6</v>
      </c>
      <c r="N236" s="12" t="str">
        <f t="shared" si="2"/>
        <v>ALTA</v>
      </c>
    </row>
    <row r="237" ht="22.5" customHeight="1">
      <c r="A237" s="4" t="s">
        <v>30</v>
      </c>
      <c r="B237" s="4">
        <v>2020.0</v>
      </c>
      <c r="C237" s="4" t="s">
        <v>87</v>
      </c>
      <c r="D237" s="4" t="s">
        <v>778</v>
      </c>
      <c r="E237" s="4" t="str">
        <f>IFERROR(VLOOKUP(G237, 'Padronização'!A:C, 2, FALSE), "")</f>
        <v>✅</v>
      </c>
      <c r="F237" s="23" t="str">
        <f>IFERROR(VLOOKUP(G237, 'Padronização'!A:C, 3, FALSE), "")</f>
        <v>ABM/MAS focado em comportamento humano cognitivo</v>
      </c>
      <c r="G237" s="13" t="s">
        <v>47</v>
      </c>
      <c r="H237" s="24" t="s">
        <v>65</v>
      </c>
      <c r="I237" s="14" t="s">
        <v>51</v>
      </c>
      <c r="J237" s="14" t="s">
        <v>53</v>
      </c>
      <c r="K237" s="14" t="s">
        <v>83</v>
      </c>
      <c r="L237" s="14" t="s">
        <v>53</v>
      </c>
      <c r="M237" s="11">
        <f t="shared" si="1"/>
        <v>7</v>
      </c>
      <c r="N237" s="12" t="str">
        <f t="shared" si="2"/>
        <v>ALTA</v>
      </c>
    </row>
    <row r="238" ht="22.5" customHeight="1">
      <c r="A238" s="4" t="s">
        <v>30</v>
      </c>
      <c r="B238" s="4">
        <v>2020.0</v>
      </c>
      <c r="C238" s="4" t="s">
        <v>33</v>
      </c>
      <c r="D238" s="4" t="s">
        <v>781</v>
      </c>
      <c r="E238" s="4" t="str">
        <f>IFERROR(VLOOKUP(G238, 'Padronização'!A:C, 2, FALSE), "")</f>
        <v>✅</v>
      </c>
      <c r="F238" s="23" t="str">
        <f>IFERROR(VLOOKUP(G238, 'Padronização'!A:C, 3, FALSE), "")</f>
        <v>ABM/MAS aplicado à evacuação</v>
      </c>
      <c r="G238" s="4" t="s">
        <v>45</v>
      </c>
      <c r="H238" s="24" t="s">
        <v>49</v>
      </c>
      <c r="I238" s="14" t="s">
        <v>51</v>
      </c>
      <c r="J238" s="14" t="s">
        <v>100</v>
      </c>
      <c r="K238" s="14" t="s">
        <v>82</v>
      </c>
      <c r="L238" s="14" t="s">
        <v>53</v>
      </c>
      <c r="M238" s="11">
        <f t="shared" si="1"/>
        <v>8</v>
      </c>
      <c r="N238" s="12" t="str">
        <f t="shared" si="2"/>
        <v>ALTÍSSIMA</v>
      </c>
    </row>
    <row r="239" ht="22.5" customHeight="1">
      <c r="A239" s="4" t="s">
        <v>30</v>
      </c>
      <c r="B239" s="4">
        <v>2020.0</v>
      </c>
      <c r="C239" s="4" t="s">
        <v>87</v>
      </c>
      <c r="D239" s="4" t="s">
        <v>784</v>
      </c>
      <c r="E239" s="4" t="str">
        <f>IFERROR(VLOOKUP(G239, 'Padronização'!A:C, 2, FALSE), "")</f>
        <v>✅</v>
      </c>
      <c r="F239" s="23" t="str">
        <f>IFERROR(VLOOKUP(G239, 'Padronização'!A:C, 3, FALSE), "")</f>
        <v>ABM/MAS aplicado à evacuação</v>
      </c>
      <c r="G239" s="4" t="s">
        <v>45</v>
      </c>
      <c r="H239" s="24" t="s">
        <v>154</v>
      </c>
      <c r="I239" s="14" t="s">
        <v>51</v>
      </c>
      <c r="J239" s="14" t="s">
        <v>53</v>
      </c>
      <c r="K239" s="14" t="s">
        <v>94</v>
      </c>
      <c r="L239" s="14" t="s">
        <v>53</v>
      </c>
      <c r="M239" s="11">
        <f t="shared" si="1"/>
        <v>7</v>
      </c>
      <c r="N239" s="12" t="str">
        <f t="shared" si="2"/>
        <v>ALTA</v>
      </c>
    </row>
    <row r="240" ht="22.5" customHeight="1">
      <c r="A240" s="4" t="s">
        <v>30</v>
      </c>
      <c r="B240" s="4">
        <v>2020.0</v>
      </c>
      <c r="C240" s="4" t="s">
        <v>33</v>
      </c>
      <c r="D240" s="4" t="s">
        <v>176</v>
      </c>
      <c r="E240" s="4" t="str">
        <f>IFERROR(VLOOKUP(G240, 'Padronização'!A:C, 2, FALSE), "")</f>
        <v>✅</v>
      </c>
      <c r="F240" s="23" t="str">
        <f>IFERROR(VLOOKUP(G240, 'Padronização'!A:C, 3, FALSE), "")</f>
        <v>ABM/MAS aplicado à evacuação</v>
      </c>
      <c r="G240" s="13" t="s">
        <v>45</v>
      </c>
      <c r="H240" s="24" t="s">
        <v>49</v>
      </c>
      <c r="I240" s="14" t="s">
        <v>51</v>
      </c>
      <c r="J240" s="14" t="s">
        <v>53</v>
      </c>
      <c r="K240" s="14" t="s">
        <v>94</v>
      </c>
      <c r="L240" s="14" t="s">
        <v>53</v>
      </c>
      <c r="M240" s="11">
        <f t="shared" si="1"/>
        <v>7</v>
      </c>
      <c r="N240" s="12" t="str">
        <f t="shared" si="2"/>
        <v>ALTA</v>
      </c>
    </row>
    <row r="241" ht="22.5" customHeight="1">
      <c r="A241" s="4" t="s">
        <v>30</v>
      </c>
      <c r="B241" s="4">
        <v>2020.0</v>
      </c>
      <c r="C241" s="4" t="s">
        <v>87</v>
      </c>
      <c r="D241" s="4" t="s">
        <v>789</v>
      </c>
      <c r="E241" s="4" t="str">
        <f>IFERROR(VLOOKUP(G241, 'Padronização'!A:C, 2, FALSE), "")</f>
        <v>✅</v>
      </c>
      <c r="F241" s="23" t="str">
        <f>IFERROR(VLOOKUP(G241, 'Padronização'!A:C, 3, FALSE), "")</f>
        <v>ABM/MAS aplicado à evacuação</v>
      </c>
      <c r="G241" s="13" t="s">
        <v>45</v>
      </c>
      <c r="H241" s="24" t="s">
        <v>65</v>
      </c>
      <c r="I241" s="14" t="s">
        <v>51</v>
      </c>
      <c r="J241" s="14" t="s">
        <v>100</v>
      </c>
      <c r="K241" s="14" t="s">
        <v>94</v>
      </c>
      <c r="L241" s="14" t="s">
        <v>53</v>
      </c>
      <c r="M241" s="11">
        <f t="shared" si="1"/>
        <v>6</v>
      </c>
      <c r="N241" s="12" t="str">
        <f t="shared" si="2"/>
        <v>ALTA</v>
      </c>
    </row>
    <row r="242" ht="22.5" customHeight="1">
      <c r="A242" s="4" t="s">
        <v>30</v>
      </c>
      <c r="B242" s="4">
        <v>2020.0</v>
      </c>
      <c r="C242" s="4" t="s">
        <v>33</v>
      </c>
      <c r="D242" s="4" t="s">
        <v>791</v>
      </c>
      <c r="E242" s="4" t="str">
        <f>IFERROR(VLOOKUP(G242, 'Padronização'!A:C, 2, FALSE), "")</f>
        <v>✅</v>
      </c>
      <c r="F242" s="23" t="str">
        <f>IFERROR(VLOOKUP(G242, 'Padronização'!A:C, 3, FALSE), "")</f>
        <v>ABM/MAS aplicado à evacuação</v>
      </c>
      <c r="G242" s="13" t="s">
        <v>45</v>
      </c>
      <c r="H242" s="24" t="s">
        <v>49</v>
      </c>
      <c r="I242" s="14" t="s">
        <v>66</v>
      </c>
      <c r="J242" s="14" t="s">
        <v>100</v>
      </c>
      <c r="K242" s="14" t="s">
        <v>94</v>
      </c>
      <c r="L242" s="14" t="s">
        <v>53</v>
      </c>
      <c r="M242" s="11">
        <f t="shared" si="1"/>
        <v>4</v>
      </c>
      <c r="N242" s="12" t="str">
        <f t="shared" si="2"/>
        <v>MÉDIA</v>
      </c>
    </row>
    <row r="243" ht="22.5" customHeight="1">
      <c r="A243" s="4" t="s">
        <v>30</v>
      </c>
      <c r="B243" s="4">
        <v>2020.0</v>
      </c>
      <c r="C243" s="4" t="s">
        <v>33</v>
      </c>
      <c r="D243" s="4" t="s">
        <v>793</v>
      </c>
      <c r="E243" s="4" t="str">
        <f>IFERROR(VLOOKUP(G243, 'Padronização'!A:C, 2, FALSE), "")</f>
        <v>✅</v>
      </c>
      <c r="F243" s="23" t="str">
        <f>IFERROR(VLOOKUP(G243, 'Padronização'!A:C, 3, FALSE), "")</f>
        <v>ABM/MAS aplicado à evacuação</v>
      </c>
      <c r="G243" s="13" t="s">
        <v>45</v>
      </c>
      <c r="H243" s="24" t="s">
        <v>115</v>
      </c>
      <c r="I243" s="12"/>
      <c r="J243" s="12"/>
      <c r="K243" s="12"/>
      <c r="L243" s="14" t="s">
        <v>61</v>
      </c>
      <c r="M243" s="11">
        <f t="shared" si="1"/>
        <v>-10</v>
      </c>
      <c r="N243" s="12" t="str">
        <f t="shared" si="2"/>
        <v>EXCLUIR</v>
      </c>
    </row>
    <row r="244" ht="22.5" customHeight="1">
      <c r="A244" s="4" t="s">
        <v>30</v>
      </c>
      <c r="B244" s="4">
        <v>2020.0</v>
      </c>
      <c r="C244" s="4" t="s">
        <v>33</v>
      </c>
      <c r="D244" s="4" t="s">
        <v>796</v>
      </c>
      <c r="E244" s="4" t="str">
        <f>IFERROR(VLOOKUP(G244, 'Padronização'!A:C, 2, FALSE), "")</f>
        <v>✅</v>
      </c>
      <c r="F244" s="23" t="str">
        <f>IFERROR(VLOOKUP(G244, 'Padronização'!A:C, 3, FALSE), "")</f>
        <v>ABM/MAS aplicado à evacuação</v>
      </c>
      <c r="G244" s="4" t="s">
        <v>45</v>
      </c>
      <c r="H244" s="24" t="s">
        <v>65</v>
      </c>
      <c r="I244" s="14" t="s">
        <v>51</v>
      </c>
      <c r="J244" s="14" t="s">
        <v>100</v>
      </c>
      <c r="K244" s="14" t="s">
        <v>94</v>
      </c>
      <c r="L244" s="14" t="s">
        <v>53</v>
      </c>
      <c r="M244" s="11">
        <f t="shared" si="1"/>
        <v>6</v>
      </c>
      <c r="N244" s="12" t="str">
        <f t="shared" si="2"/>
        <v>ALTA</v>
      </c>
    </row>
    <row r="245" ht="22.5" customHeight="1">
      <c r="A245" s="4" t="s">
        <v>30</v>
      </c>
      <c r="B245" s="4">
        <v>2020.0</v>
      </c>
      <c r="C245" s="4" t="s">
        <v>33</v>
      </c>
      <c r="D245" s="4" t="s">
        <v>798</v>
      </c>
      <c r="E245" s="4" t="str">
        <f>IFERROR(VLOOKUP(G245, 'Padronização'!A:C, 2, FALSE), "")</f>
        <v>✅</v>
      </c>
      <c r="F245" s="23" t="str">
        <f>IFERROR(VLOOKUP(G245, 'Padronização'!A:C, 3, FALSE), "")</f>
        <v>ABM/MAS focado em comportamento humano cognitivo</v>
      </c>
      <c r="G245" s="13" t="s">
        <v>47</v>
      </c>
      <c r="H245" s="24" t="s">
        <v>115</v>
      </c>
      <c r="I245" s="12"/>
      <c r="J245" s="12"/>
      <c r="K245" s="12"/>
      <c r="L245" s="14" t="s">
        <v>61</v>
      </c>
      <c r="M245" s="11">
        <f t="shared" si="1"/>
        <v>-10</v>
      </c>
      <c r="N245" s="12" t="str">
        <f t="shared" si="2"/>
        <v>EXCLUIR</v>
      </c>
    </row>
    <row r="246" ht="22.5" customHeight="1">
      <c r="A246" s="4" t="s">
        <v>30</v>
      </c>
      <c r="B246" s="4">
        <v>2020.0</v>
      </c>
      <c r="C246" s="4" t="s">
        <v>33</v>
      </c>
      <c r="D246" s="4" t="s">
        <v>181</v>
      </c>
      <c r="E246" s="4" t="str">
        <f>IFERROR(VLOOKUP(G246, 'Padronização'!A:C, 2, FALSE), "")</f>
        <v>✅</v>
      </c>
      <c r="F246" s="23" t="str">
        <f>IFERROR(VLOOKUP(G246, 'Padronização'!A:C, 3, FALSE), "")</f>
        <v>ABM/MAS aplicado à evacuação</v>
      </c>
      <c r="G246" s="13" t="s">
        <v>45</v>
      </c>
      <c r="H246" s="24" t="s">
        <v>49</v>
      </c>
      <c r="I246" s="14" t="s">
        <v>51</v>
      </c>
      <c r="J246" s="14" t="s">
        <v>53</v>
      </c>
      <c r="K246" s="14" t="s">
        <v>94</v>
      </c>
      <c r="L246" s="14" t="s">
        <v>53</v>
      </c>
      <c r="M246" s="11">
        <f t="shared" si="1"/>
        <v>7</v>
      </c>
      <c r="N246" s="12" t="str">
        <f t="shared" si="2"/>
        <v>ALTA</v>
      </c>
    </row>
    <row r="247" ht="22.5" customHeight="1">
      <c r="A247" s="4" t="s">
        <v>30</v>
      </c>
      <c r="B247" s="4">
        <v>2020.0</v>
      </c>
      <c r="C247" s="4" t="s">
        <v>33</v>
      </c>
      <c r="D247" s="4" t="s">
        <v>183</v>
      </c>
      <c r="E247" s="4" t="str">
        <f>IFERROR(VLOOKUP(G247, 'Padronização'!A:C, 2, FALSE), "")</f>
        <v>✅</v>
      </c>
      <c r="F247" s="23" t="str">
        <f>IFERROR(VLOOKUP(G247, 'Padronização'!A:C, 3, FALSE), "")</f>
        <v>Grupos vulneráveis em cenários de crise</v>
      </c>
      <c r="G247" s="13" t="s">
        <v>54</v>
      </c>
      <c r="H247" s="24" t="s">
        <v>49</v>
      </c>
      <c r="I247" s="14" t="s">
        <v>51</v>
      </c>
      <c r="J247" s="14" t="s">
        <v>53</v>
      </c>
      <c r="K247" s="14" t="s">
        <v>68</v>
      </c>
      <c r="L247" s="14" t="s">
        <v>53</v>
      </c>
      <c r="M247" s="11">
        <f t="shared" si="1"/>
        <v>9</v>
      </c>
      <c r="N247" s="12" t="str">
        <f t="shared" si="2"/>
        <v>ALTÍSSIMA</v>
      </c>
    </row>
    <row r="248" ht="22.5" customHeight="1">
      <c r="A248" s="4" t="s">
        <v>30</v>
      </c>
      <c r="B248" s="4">
        <v>2020.0</v>
      </c>
      <c r="C248" s="4" t="s">
        <v>33</v>
      </c>
      <c r="D248" s="4" t="s">
        <v>804</v>
      </c>
      <c r="E248" s="4" t="str">
        <f>IFERROR(VLOOKUP(G248, 'Padronização'!A:C, 2, FALSE), "")</f>
        <v>✅</v>
      </c>
      <c r="F248" s="23" t="str">
        <f>IFERROR(VLOOKUP(G248, 'Padronização'!A:C, 3, FALSE), "")</f>
        <v>ABM/MAS aplicado à evacuação</v>
      </c>
      <c r="G248" s="13" t="s">
        <v>45</v>
      </c>
      <c r="H248" s="24" t="s">
        <v>49</v>
      </c>
      <c r="I248" s="14" t="s">
        <v>51</v>
      </c>
      <c r="J248" s="14" t="s">
        <v>100</v>
      </c>
      <c r="K248" s="14" t="s">
        <v>68</v>
      </c>
      <c r="L248" s="14" t="s">
        <v>53</v>
      </c>
      <c r="M248" s="11">
        <f t="shared" si="1"/>
        <v>8</v>
      </c>
      <c r="N248" s="12" t="str">
        <f t="shared" si="2"/>
        <v>ALTÍSSIMA</v>
      </c>
    </row>
    <row r="249" ht="22.5" customHeight="1">
      <c r="A249" s="4" t="s">
        <v>30</v>
      </c>
      <c r="B249" s="4">
        <v>2020.0</v>
      </c>
      <c r="C249" s="4" t="s">
        <v>87</v>
      </c>
      <c r="D249" s="4" t="s">
        <v>807</v>
      </c>
      <c r="E249" s="4" t="str">
        <f>IFERROR(VLOOKUP(G249, 'Padronização'!A:C, 2, FALSE), "")</f>
        <v>✅</v>
      </c>
      <c r="F249" s="23" t="str">
        <f>IFERROR(VLOOKUP(G249, 'Padronização'!A:C, 3, FALSE), "")</f>
        <v>ABM/MAS aplicado à evacuação</v>
      </c>
      <c r="G249" s="13" t="s">
        <v>45</v>
      </c>
      <c r="H249" s="24" t="s">
        <v>110</v>
      </c>
      <c r="I249" s="14" t="s">
        <v>51</v>
      </c>
      <c r="J249" s="14" t="s">
        <v>100</v>
      </c>
      <c r="K249" s="14" t="s">
        <v>94</v>
      </c>
      <c r="L249" s="14" t="s">
        <v>53</v>
      </c>
      <c r="M249" s="11">
        <f t="shared" si="1"/>
        <v>6</v>
      </c>
      <c r="N249" s="12" t="str">
        <f t="shared" si="2"/>
        <v>ALTA</v>
      </c>
    </row>
    <row r="250" ht="22.5" customHeight="1">
      <c r="A250" s="4" t="s">
        <v>30</v>
      </c>
      <c r="B250" s="4">
        <v>2020.0</v>
      </c>
      <c r="C250" s="4" t="s">
        <v>33</v>
      </c>
      <c r="D250" s="4" t="s">
        <v>811</v>
      </c>
      <c r="E250" s="4" t="str">
        <f>IFERROR(VLOOKUP(G250, 'Padronização'!A:C, 2, FALSE), "")</f>
        <v>✅</v>
      </c>
      <c r="F250" s="23" t="str">
        <f>IFERROR(VLOOKUP(G250, 'Padronização'!A:C, 3, FALSE), "")</f>
        <v>ABM/MAS focado em comportamento humano cognitivo</v>
      </c>
      <c r="G250" s="13" t="s">
        <v>47</v>
      </c>
      <c r="H250" s="24" t="s">
        <v>115</v>
      </c>
      <c r="I250" s="12"/>
      <c r="J250" s="12"/>
      <c r="K250" s="12"/>
      <c r="L250" s="14" t="s">
        <v>61</v>
      </c>
      <c r="M250" s="11">
        <f t="shared" si="1"/>
        <v>-10</v>
      </c>
      <c r="N250" s="12" t="str">
        <f t="shared" si="2"/>
        <v>EXCLUIR</v>
      </c>
    </row>
    <row r="251" ht="22.5" customHeight="1">
      <c r="A251" s="4" t="s">
        <v>30</v>
      </c>
      <c r="B251" s="4">
        <v>2020.0</v>
      </c>
      <c r="C251" s="4" t="s">
        <v>87</v>
      </c>
      <c r="D251" s="4" t="s">
        <v>813</v>
      </c>
      <c r="E251" s="4" t="str">
        <f>IFERROR(VLOOKUP(G251, 'Padronização'!A:C, 2, FALSE), "")</f>
        <v>✅</v>
      </c>
      <c r="F251" s="23" t="str">
        <f>IFERROR(VLOOKUP(G251, 'Padronização'!A:C, 3, FALSE), "")</f>
        <v>Grupos vulneráveis em cenários de crise</v>
      </c>
      <c r="G251" s="13" t="s">
        <v>54</v>
      </c>
      <c r="H251" s="24" t="s">
        <v>125</v>
      </c>
      <c r="I251" s="14" t="s">
        <v>51</v>
      </c>
      <c r="J251" s="14" t="s">
        <v>100</v>
      </c>
      <c r="K251" s="14" t="s">
        <v>94</v>
      </c>
      <c r="L251" s="14" t="s">
        <v>53</v>
      </c>
      <c r="M251" s="11">
        <f t="shared" si="1"/>
        <v>6</v>
      </c>
      <c r="N251" s="12" t="str">
        <f t="shared" si="2"/>
        <v>ALTA</v>
      </c>
    </row>
    <row r="252" ht="22.5" customHeight="1">
      <c r="A252" s="4" t="s">
        <v>30</v>
      </c>
      <c r="B252" s="4">
        <v>2020.0</v>
      </c>
      <c r="C252" s="4" t="s">
        <v>87</v>
      </c>
      <c r="D252" s="4" t="s">
        <v>815</v>
      </c>
      <c r="E252" s="4" t="str">
        <f>IFERROR(VLOOKUP(G252, 'Padronização'!A:C, 2, FALSE), "")</f>
        <v>✅</v>
      </c>
      <c r="F252" s="23" t="str">
        <f>IFERROR(VLOOKUP(G252, 'Padronização'!A:C, 3, FALSE), "")</f>
        <v>ABM/MAS focado em comportamento humano cognitivo</v>
      </c>
      <c r="G252" s="13" t="s">
        <v>47</v>
      </c>
      <c r="H252" s="24" t="s">
        <v>115</v>
      </c>
      <c r="I252" s="12"/>
      <c r="J252" s="12"/>
      <c r="K252" s="12"/>
      <c r="L252" s="14" t="s">
        <v>61</v>
      </c>
      <c r="M252" s="11">
        <f t="shared" si="1"/>
        <v>-10</v>
      </c>
      <c r="N252" s="12" t="str">
        <f t="shared" si="2"/>
        <v>EXCLUIR</v>
      </c>
    </row>
    <row r="253" ht="22.5" customHeight="1">
      <c r="A253" s="4" t="s">
        <v>30</v>
      </c>
      <c r="B253" s="4">
        <v>2020.0</v>
      </c>
      <c r="C253" s="4" t="s">
        <v>87</v>
      </c>
      <c r="D253" s="4" t="s">
        <v>817</v>
      </c>
      <c r="E253" s="4" t="str">
        <f>IFERROR(VLOOKUP(G253, 'Padronização'!A:C, 2, FALSE), "")</f>
        <v>✅</v>
      </c>
      <c r="F253" s="23" t="str">
        <f>IFERROR(VLOOKUP(G253, 'Padronização'!A:C, 3, FALSE), "")</f>
        <v>Resposta humana a alertas e decisões</v>
      </c>
      <c r="G253" s="13" t="s">
        <v>50</v>
      </c>
      <c r="H253" s="24" t="s">
        <v>115</v>
      </c>
      <c r="I253" s="12"/>
      <c r="J253" s="12"/>
      <c r="K253" s="12"/>
      <c r="L253" s="14" t="s">
        <v>61</v>
      </c>
      <c r="M253" s="11">
        <f t="shared" si="1"/>
        <v>-10</v>
      </c>
      <c r="N253" s="12" t="str">
        <f t="shared" si="2"/>
        <v>EXCLUIR</v>
      </c>
    </row>
    <row r="254" ht="22.5" customHeight="1">
      <c r="A254" s="4" t="s">
        <v>30</v>
      </c>
      <c r="B254" s="4">
        <v>2020.0</v>
      </c>
      <c r="C254" s="4" t="s">
        <v>87</v>
      </c>
      <c r="D254" s="4" t="s">
        <v>820</v>
      </c>
      <c r="E254" s="4" t="str">
        <f>IFERROR(VLOOKUP(G254, 'Padronização'!A:C, 2, FALSE), "")</f>
        <v>✅</v>
      </c>
      <c r="F254" s="23" t="str">
        <f>IFERROR(VLOOKUP(G254, 'Padronização'!A:C, 3, FALSE), "")</f>
        <v>ABM/MAS focado em comportamento humano cognitivo</v>
      </c>
      <c r="G254" s="13" t="s">
        <v>47</v>
      </c>
      <c r="H254" s="24" t="s">
        <v>115</v>
      </c>
      <c r="I254" s="12"/>
      <c r="J254" s="12"/>
      <c r="K254" s="12"/>
      <c r="L254" s="14" t="s">
        <v>61</v>
      </c>
      <c r="M254" s="11">
        <f t="shared" si="1"/>
        <v>-10</v>
      </c>
      <c r="N254" s="12" t="str">
        <f t="shared" si="2"/>
        <v>EXCLUIR</v>
      </c>
    </row>
    <row r="255" ht="22.5" customHeight="1">
      <c r="A255" s="4" t="s">
        <v>823</v>
      </c>
      <c r="B255" s="4">
        <v>2026.0</v>
      </c>
      <c r="C255" s="4" t="s">
        <v>87</v>
      </c>
      <c r="D255" s="4" t="s">
        <v>824</v>
      </c>
      <c r="E255" s="4" t="str">
        <f>IFERROR(VLOOKUP(G255, 'Padronização'!A:C, 2, FALSE), "")</f>
        <v>✅</v>
      </c>
      <c r="F255" s="23" t="str">
        <f>IFERROR(VLOOKUP(G255, 'Padronização'!A:C, 3, FALSE), "")</f>
        <v>Resposta humana a alertas e decisões</v>
      </c>
      <c r="G255" s="4" t="s">
        <v>50</v>
      </c>
      <c r="H255" s="24" t="s">
        <v>65</v>
      </c>
      <c r="I255" s="14" t="s">
        <v>51</v>
      </c>
      <c r="J255" s="14" t="s">
        <v>100</v>
      </c>
      <c r="K255" s="14" t="s">
        <v>94</v>
      </c>
      <c r="L255" s="14" t="s">
        <v>53</v>
      </c>
      <c r="M255" s="11">
        <f t="shared" si="1"/>
        <v>6</v>
      </c>
      <c r="N255" s="12" t="str">
        <f t="shared" si="2"/>
        <v>ALTA</v>
      </c>
    </row>
    <row r="256" ht="22.5" customHeight="1">
      <c r="A256" s="4" t="s">
        <v>823</v>
      </c>
      <c r="B256" s="4">
        <v>2026.0</v>
      </c>
      <c r="C256" s="4" t="s">
        <v>87</v>
      </c>
      <c r="D256" s="22" t="s">
        <v>827</v>
      </c>
      <c r="E256" s="4" t="str">
        <f>IFERROR(VLOOKUP(G256, 'Padronização'!A:C, 2, FALSE), "")</f>
        <v>✅</v>
      </c>
      <c r="F256" s="23" t="str">
        <f>IFERROR(VLOOKUP(G256, 'Padronização'!A:C, 3, FALSE), "")</f>
        <v>ABM/MAS focado em comportamento humano cognitivo</v>
      </c>
      <c r="G256" s="4" t="s">
        <v>47</v>
      </c>
      <c r="H256" s="24" t="s">
        <v>110</v>
      </c>
      <c r="I256" s="14" t="s">
        <v>51</v>
      </c>
      <c r="J256" s="14" t="s">
        <v>53</v>
      </c>
      <c r="K256" s="14" t="s">
        <v>94</v>
      </c>
      <c r="L256" s="14" t="s">
        <v>53</v>
      </c>
      <c r="M256" s="11">
        <f t="shared" si="1"/>
        <v>7</v>
      </c>
      <c r="N256" s="12" t="str">
        <f t="shared" si="2"/>
        <v>ALTA</v>
      </c>
    </row>
    <row r="257" ht="22.5" customHeight="1">
      <c r="A257" s="4" t="s">
        <v>823</v>
      </c>
      <c r="B257" s="4">
        <v>2025.0</v>
      </c>
      <c r="C257" s="4" t="s">
        <v>87</v>
      </c>
      <c r="D257" s="4" t="s">
        <v>829</v>
      </c>
      <c r="E257" s="4" t="str">
        <f>IFERROR(VLOOKUP(G257, 'Padronização'!A:C, 2, FALSE), "")</f>
        <v>✅</v>
      </c>
      <c r="F257" s="23" t="str">
        <f>IFERROR(VLOOKUP(G257, 'Padronização'!A:C, 3, FALSE), "")</f>
        <v>ABM/MAS aplicado à evacuação</v>
      </c>
      <c r="G257" s="4" t="s">
        <v>45</v>
      </c>
      <c r="H257" s="24" t="s">
        <v>65</v>
      </c>
      <c r="I257" s="14" t="s">
        <v>66</v>
      </c>
      <c r="J257" s="14" t="s">
        <v>100</v>
      </c>
      <c r="K257" s="14" t="s">
        <v>94</v>
      </c>
      <c r="L257" s="14" t="s">
        <v>53</v>
      </c>
      <c r="M257" s="11">
        <f t="shared" si="1"/>
        <v>4</v>
      </c>
      <c r="N257" s="12" t="str">
        <f t="shared" si="2"/>
        <v>MÉDIA</v>
      </c>
    </row>
    <row r="258" ht="22.5" customHeight="1">
      <c r="A258" s="4" t="s">
        <v>823</v>
      </c>
      <c r="B258" s="4">
        <v>2025.0</v>
      </c>
      <c r="C258" s="4" t="s">
        <v>87</v>
      </c>
      <c r="D258" s="4" t="s">
        <v>832</v>
      </c>
      <c r="E258" s="4" t="str">
        <f>IFERROR(VLOOKUP(G258, 'Padronização'!A:C, 2, FALSE), "")</f>
        <v>✅</v>
      </c>
      <c r="F258" s="23" t="str">
        <f>IFERROR(VLOOKUP(G258, 'Padronização'!A:C, 3, FALSE), "")</f>
        <v>ABM/MAS aplicado à evacuação</v>
      </c>
      <c r="G258" s="4" t="s">
        <v>45</v>
      </c>
      <c r="H258" s="24" t="s">
        <v>180</v>
      </c>
      <c r="I258" s="14" t="s">
        <v>51</v>
      </c>
      <c r="J258" s="14" t="s">
        <v>61</v>
      </c>
      <c r="K258" s="14" t="s">
        <v>94</v>
      </c>
      <c r="L258" s="14" t="s">
        <v>53</v>
      </c>
      <c r="M258" s="11">
        <f t="shared" si="1"/>
        <v>5</v>
      </c>
      <c r="N258" s="12" t="str">
        <f t="shared" si="2"/>
        <v>MÉDIA</v>
      </c>
    </row>
    <row r="259" ht="22.5" customHeight="1">
      <c r="A259" s="4" t="s">
        <v>823</v>
      </c>
      <c r="B259" s="4">
        <v>2025.0</v>
      </c>
      <c r="C259" s="4" t="s">
        <v>87</v>
      </c>
      <c r="D259" s="4" t="s">
        <v>835</v>
      </c>
      <c r="E259" s="4" t="str">
        <f>IFERROR(VLOOKUP(G259, 'Padronização'!A:C, 2, FALSE), "")</f>
        <v>✅</v>
      </c>
      <c r="F259" s="23" t="str">
        <f>IFERROR(VLOOKUP(G259, 'Padronização'!A:C, 3, FALSE), "")</f>
        <v>ABM/MAS aplicado à evacuação</v>
      </c>
      <c r="G259" s="4" t="s">
        <v>45</v>
      </c>
      <c r="H259" s="24" t="s">
        <v>110</v>
      </c>
      <c r="I259" s="14" t="s">
        <v>66</v>
      </c>
      <c r="J259" s="14" t="s">
        <v>100</v>
      </c>
      <c r="K259" s="14" t="s">
        <v>94</v>
      </c>
      <c r="L259" s="14" t="s">
        <v>53</v>
      </c>
      <c r="M259" s="11">
        <f t="shared" si="1"/>
        <v>4</v>
      </c>
      <c r="N259" s="12" t="str">
        <f t="shared" si="2"/>
        <v>MÉDIA</v>
      </c>
    </row>
    <row r="260" ht="22.5" customHeight="1">
      <c r="A260" s="4" t="s">
        <v>823</v>
      </c>
      <c r="B260" s="4">
        <v>2025.0</v>
      </c>
      <c r="C260" s="4" t="s">
        <v>87</v>
      </c>
      <c r="D260" s="4" t="s">
        <v>837</v>
      </c>
      <c r="E260" s="4" t="str">
        <f>IFERROR(VLOOKUP(G260, 'Padronização'!A:C, 2, FALSE), "")</f>
        <v>✅</v>
      </c>
      <c r="F260" s="23" t="str">
        <f>IFERROR(VLOOKUP(G260, 'Padronização'!A:C, 3, FALSE), "")</f>
        <v>ABM/MAS aplicado à evacuação</v>
      </c>
      <c r="G260" s="4" t="s">
        <v>45</v>
      </c>
      <c r="H260" s="24" t="s">
        <v>110</v>
      </c>
      <c r="I260" s="14" t="s">
        <v>66</v>
      </c>
      <c r="J260" s="14" t="s">
        <v>53</v>
      </c>
      <c r="K260" s="14" t="s">
        <v>68</v>
      </c>
      <c r="L260" s="14" t="s">
        <v>53</v>
      </c>
      <c r="M260" s="11">
        <f t="shared" si="1"/>
        <v>7</v>
      </c>
      <c r="N260" s="12" t="str">
        <f t="shared" si="2"/>
        <v>ALTA</v>
      </c>
    </row>
    <row r="261" ht="22.5" customHeight="1">
      <c r="A261" s="4" t="s">
        <v>823</v>
      </c>
      <c r="B261" s="4">
        <v>2025.0</v>
      </c>
      <c r="C261" s="4" t="s">
        <v>87</v>
      </c>
      <c r="D261" s="4" t="s">
        <v>841</v>
      </c>
      <c r="E261" s="4" t="str">
        <f>IFERROR(VLOOKUP(G261, 'Padronização'!A:C, 2, FALSE), "")</f>
        <v>✅</v>
      </c>
      <c r="F261" s="23" t="str">
        <f>IFERROR(VLOOKUP(G261, 'Padronização'!A:C, 3, FALSE), "")</f>
        <v>ABM/MAS focado em comportamento humano cognitivo</v>
      </c>
      <c r="G261" s="4" t="s">
        <v>47</v>
      </c>
      <c r="H261" s="24" t="s">
        <v>110</v>
      </c>
      <c r="I261" s="14" t="s">
        <v>51</v>
      </c>
      <c r="J261" s="14" t="s">
        <v>53</v>
      </c>
      <c r="K261" s="14" t="s">
        <v>94</v>
      </c>
      <c r="L261" s="14" t="s">
        <v>53</v>
      </c>
      <c r="M261" s="11">
        <f t="shared" si="1"/>
        <v>7</v>
      </c>
      <c r="N261" s="12" t="str">
        <f t="shared" si="2"/>
        <v>ALTA</v>
      </c>
    </row>
    <row r="262" ht="22.5" customHeight="1">
      <c r="A262" s="4" t="s">
        <v>823</v>
      </c>
      <c r="B262" s="4">
        <v>2025.0</v>
      </c>
      <c r="C262" s="4" t="s">
        <v>87</v>
      </c>
      <c r="D262" s="4" t="s">
        <v>844</v>
      </c>
      <c r="E262" s="4" t="str">
        <f>IFERROR(VLOOKUP(G262, 'Padronização'!A:C, 2, FALSE), "")</f>
        <v>✅</v>
      </c>
      <c r="F262" s="23" t="str">
        <f>IFERROR(VLOOKUP(G262, 'Padronização'!A:C, 3, FALSE), "")</f>
        <v>ABM/MAS aplicado à evacuação</v>
      </c>
      <c r="G262" s="4" t="s">
        <v>45</v>
      </c>
      <c r="H262" s="24" t="s">
        <v>110</v>
      </c>
      <c r="I262" s="14" t="s">
        <v>66</v>
      </c>
      <c r="J262" s="14" t="s">
        <v>61</v>
      </c>
      <c r="K262" s="14" t="s">
        <v>67</v>
      </c>
      <c r="L262" s="14" t="s">
        <v>53</v>
      </c>
      <c r="M262" s="11">
        <f t="shared" si="1"/>
        <v>5</v>
      </c>
      <c r="N262" s="12" t="str">
        <f t="shared" si="2"/>
        <v>MÉDIA</v>
      </c>
    </row>
    <row r="263" ht="22.5" customHeight="1">
      <c r="A263" s="4" t="s">
        <v>823</v>
      </c>
      <c r="B263" s="4">
        <v>2025.0</v>
      </c>
      <c r="C263" s="4" t="s">
        <v>33</v>
      </c>
      <c r="D263" s="4" t="s">
        <v>276</v>
      </c>
      <c r="E263" s="4" t="str">
        <f>IFERROR(VLOOKUP(G263, 'Padronização'!A:C, 2, FALSE), "")</f>
        <v>✅</v>
      </c>
      <c r="F263" s="23" t="str">
        <f>IFERROR(VLOOKUP(G263, 'Padronização'!A:C, 3, FALSE), "")</f>
        <v>ABM/MAS aplicado à evacuação</v>
      </c>
      <c r="G263" s="4" t="s">
        <v>45</v>
      </c>
      <c r="H263" s="24" t="s">
        <v>110</v>
      </c>
      <c r="I263" s="14" t="s">
        <v>51</v>
      </c>
      <c r="J263" s="14" t="s">
        <v>100</v>
      </c>
      <c r="K263" s="14" t="s">
        <v>94</v>
      </c>
      <c r="L263" s="14" t="s">
        <v>53</v>
      </c>
      <c r="M263" s="11">
        <f t="shared" si="1"/>
        <v>6</v>
      </c>
      <c r="N263" s="12" t="str">
        <f t="shared" si="2"/>
        <v>ALTA</v>
      </c>
    </row>
    <row r="264" ht="22.5" customHeight="1">
      <c r="A264" s="4" t="s">
        <v>823</v>
      </c>
      <c r="B264" s="4">
        <v>2024.0</v>
      </c>
      <c r="C264" s="4" t="s">
        <v>87</v>
      </c>
      <c r="D264" s="4" t="s">
        <v>848</v>
      </c>
      <c r="E264" s="4" t="str">
        <f>IFERROR(VLOOKUP(G264, 'Padronização'!A:C, 2, FALSE), "")</f>
        <v>✅</v>
      </c>
      <c r="F264" s="23" t="str">
        <f>IFERROR(VLOOKUP(G264, 'Padronização'!A:C, 3, FALSE), "")</f>
        <v>ABM/MAS aplicado à evacuação</v>
      </c>
      <c r="G264" s="4" t="s">
        <v>45</v>
      </c>
      <c r="H264" s="24" t="s">
        <v>110</v>
      </c>
      <c r="I264" s="14" t="s">
        <v>66</v>
      </c>
      <c r="J264" s="14" t="s">
        <v>100</v>
      </c>
      <c r="K264" s="14" t="s">
        <v>94</v>
      </c>
      <c r="L264" s="14" t="s">
        <v>53</v>
      </c>
      <c r="M264" s="11">
        <f t="shared" si="1"/>
        <v>4</v>
      </c>
      <c r="N264" s="12" t="str">
        <f t="shared" si="2"/>
        <v>MÉDIA</v>
      </c>
    </row>
    <row r="265" ht="22.5" customHeight="1">
      <c r="A265" s="4" t="s">
        <v>823</v>
      </c>
      <c r="B265" s="4">
        <v>2024.0</v>
      </c>
      <c r="C265" s="4" t="s">
        <v>87</v>
      </c>
      <c r="D265" s="4" t="s">
        <v>851</v>
      </c>
      <c r="E265" s="4" t="str">
        <f>IFERROR(VLOOKUP(G265, 'Padronização'!A:C, 2, FALSE), "")</f>
        <v>✅</v>
      </c>
      <c r="F265" s="23" t="str">
        <f>IFERROR(VLOOKUP(G265, 'Padronização'!A:C, 3, FALSE), "")</f>
        <v>ABM/MAS focado em comportamento humano cognitivo</v>
      </c>
      <c r="G265" s="4" t="s">
        <v>47</v>
      </c>
      <c r="H265" s="24" t="s">
        <v>65</v>
      </c>
      <c r="I265" s="14" t="s">
        <v>66</v>
      </c>
      <c r="J265" s="14" t="s">
        <v>53</v>
      </c>
      <c r="K265" s="14" t="s">
        <v>298</v>
      </c>
      <c r="L265" s="14" t="s">
        <v>53</v>
      </c>
      <c r="M265" s="11">
        <f t="shared" si="1"/>
        <v>7</v>
      </c>
      <c r="N265" s="12" t="str">
        <f t="shared" si="2"/>
        <v>ALTA</v>
      </c>
    </row>
    <row r="266" ht="22.5" customHeight="1">
      <c r="A266" s="4" t="s">
        <v>823</v>
      </c>
      <c r="B266" s="4">
        <v>2024.0</v>
      </c>
      <c r="C266" s="4" t="s">
        <v>33</v>
      </c>
      <c r="D266" s="4" t="s">
        <v>854</v>
      </c>
      <c r="E266" s="4" t="str">
        <f>IFERROR(VLOOKUP(G266, 'Padronização'!A:C, 2, FALSE), "")</f>
        <v>✅</v>
      </c>
      <c r="F266" s="23" t="str">
        <f>IFERROR(VLOOKUP(G266, 'Padronização'!A:C, 3, FALSE), "")</f>
        <v>ABM/MAS focado em comportamento humano cognitivo</v>
      </c>
      <c r="G266" s="4" t="s">
        <v>47</v>
      </c>
      <c r="H266" s="24" t="s">
        <v>65</v>
      </c>
      <c r="I266" s="14" t="s">
        <v>66</v>
      </c>
      <c r="J266" s="14" t="s">
        <v>53</v>
      </c>
      <c r="K266" s="14" t="s">
        <v>94</v>
      </c>
      <c r="L266" s="14" t="s">
        <v>53</v>
      </c>
      <c r="M266" s="11">
        <f t="shared" si="1"/>
        <v>5</v>
      </c>
      <c r="N266" s="12" t="str">
        <f t="shared" si="2"/>
        <v>MÉDIA</v>
      </c>
    </row>
    <row r="267" ht="22.5" customHeight="1">
      <c r="A267" s="4" t="s">
        <v>823</v>
      </c>
      <c r="B267" s="4">
        <v>2023.0</v>
      </c>
      <c r="C267" s="4" t="s">
        <v>87</v>
      </c>
      <c r="D267" s="4" t="s">
        <v>855</v>
      </c>
      <c r="E267" s="4" t="str">
        <f>IFERROR(VLOOKUP(G267, 'Padronização'!A:C, 2, FALSE), "")</f>
        <v>✅</v>
      </c>
      <c r="F267" s="23" t="str">
        <f>IFERROR(VLOOKUP(G267, 'Padronização'!A:C, 3, FALSE), "")</f>
        <v>ABM/MAS focado em comportamento humano cognitivo</v>
      </c>
      <c r="G267" s="4" t="s">
        <v>47</v>
      </c>
      <c r="H267" s="24" t="s">
        <v>65</v>
      </c>
      <c r="I267" s="14" t="s">
        <v>51</v>
      </c>
      <c r="J267" s="14" t="s">
        <v>53</v>
      </c>
      <c r="K267" s="14" t="s">
        <v>68</v>
      </c>
      <c r="L267" s="14" t="s">
        <v>53</v>
      </c>
      <c r="M267" s="11">
        <f t="shared" si="1"/>
        <v>9</v>
      </c>
      <c r="N267" s="12" t="str">
        <f t="shared" si="2"/>
        <v>ALTÍSSIMA</v>
      </c>
    </row>
    <row r="268" ht="22.5" customHeight="1">
      <c r="A268" s="4" t="s">
        <v>823</v>
      </c>
      <c r="B268" s="4">
        <v>2023.0</v>
      </c>
      <c r="C268" s="4" t="s">
        <v>33</v>
      </c>
      <c r="D268" s="4" t="s">
        <v>679</v>
      </c>
      <c r="E268" s="4" t="str">
        <f>IFERROR(VLOOKUP(G268, 'Padronização'!A:C, 2, FALSE), "")</f>
        <v>✅</v>
      </c>
      <c r="F268" s="23" t="str">
        <f>IFERROR(VLOOKUP(G268, 'Padronização'!A:C, 3, FALSE), "")</f>
        <v>ABM/MAS focado em comportamento humano cognitivo</v>
      </c>
      <c r="G268" s="4" t="s">
        <v>47</v>
      </c>
      <c r="H268" s="24" t="s">
        <v>110</v>
      </c>
      <c r="I268" s="14" t="s">
        <v>66</v>
      </c>
      <c r="J268" s="14" t="s">
        <v>53</v>
      </c>
      <c r="K268" s="14" t="s">
        <v>94</v>
      </c>
      <c r="L268" s="14" t="s">
        <v>53</v>
      </c>
      <c r="M268" s="11">
        <f t="shared" si="1"/>
        <v>5</v>
      </c>
      <c r="N268" s="12" t="str">
        <f t="shared" si="2"/>
        <v>MÉDIA</v>
      </c>
    </row>
    <row r="269" ht="22.5" customHeight="1">
      <c r="A269" s="4" t="s">
        <v>823</v>
      </c>
      <c r="B269" s="4">
        <v>2022.0</v>
      </c>
      <c r="C269" s="4" t="s">
        <v>87</v>
      </c>
      <c r="D269" s="4" t="s">
        <v>862</v>
      </c>
      <c r="E269" s="4" t="str">
        <f>IFERROR(VLOOKUP(G269, 'Padronização'!A:C, 2, FALSE), "")</f>
        <v>✅</v>
      </c>
      <c r="F269" s="23" t="str">
        <f>IFERROR(VLOOKUP(G269, 'Padronização'!A:C, 3, FALSE), "")</f>
        <v>ABM/MAS aplicado à evacuação</v>
      </c>
      <c r="G269" s="4" t="s">
        <v>45</v>
      </c>
      <c r="H269" s="24" t="s">
        <v>65</v>
      </c>
      <c r="I269" s="14" t="s">
        <v>66</v>
      </c>
      <c r="J269" s="14" t="s">
        <v>100</v>
      </c>
      <c r="K269" s="14" t="s">
        <v>94</v>
      </c>
      <c r="L269" s="14" t="s">
        <v>53</v>
      </c>
      <c r="M269" s="11">
        <f t="shared" si="1"/>
        <v>4</v>
      </c>
      <c r="N269" s="12" t="str">
        <f t="shared" si="2"/>
        <v>MÉDIA</v>
      </c>
    </row>
    <row r="270" ht="22.5" customHeight="1">
      <c r="A270" s="4" t="s">
        <v>823</v>
      </c>
      <c r="B270" s="4">
        <v>2021.0</v>
      </c>
      <c r="C270" s="4" t="s">
        <v>33</v>
      </c>
      <c r="D270" s="4" t="s">
        <v>865</v>
      </c>
      <c r="E270" s="4" t="str">
        <f>IFERROR(VLOOKUP(G270, 'Padronização'!A:C, 2, FALSE), "")</f>
        <v>✅</v>
      </c>
      <c r="F270" s="23" t="str">
        <f>IFERROR(VLOOKUP(G270, 'Padronização'!A:C, 3, FALSE), "")</f>
        <v>ABM/MAS focado em comportamento humano cognitivo</v>
      </c>
      <c r="G270" s="4" t="s">
        <v>47</v>
      </c>
      <c r="H270" s="24" t="s">
        <v>65</v>
      </c>
      <c r="I270" s="14" t="s">
        <v>66</v>
      </c>
      <c r="J270" s="14" t="s">
        <v>61</v>
      </c>
      <c r="K270" s="14" t="s">
        <v>94</v>
      </c>
      <c r="L270" s="14" t="s">
        <v>53</v>
      </c>
      <c r="M270" s="11">
        <f t="shared" si="1"/>
        <v>3</v>
      </c>
      <c r="N270" s="12" t="str">
        <f t="shared" si="2"/>
        <v>BAIXA</v>
      </c>
    </row>
    <row r="271" ht="22.5" customHeight="1">
      <c r="A271" s="4" t="s">
        <v>823</v>
      </c>
      <c r="B271" s="4">
        <v>2021.0</v>
      </c>
      <c r="C271" s="4" t="s">
        <v>33</v>
      </c>
      <c r="D271" s="4" t="s">
        <v>866</v>
      </c>
      <c r="E271" s="4" t="str">
        <f>IFERROR(VLOOKUP(G271, 'Padronização'!A:C, 2, FALSE), "")</f>
        <v>✅</v>
      </c>
      <c r="F271" s="23" t="str">
        <f>IFERROR(VLOOKUP(G271, 'Padronização'!A:C, 3, FALSE), "")</f>
        <v>ABM/MAS aplicado à evacuação</v>
      </c>
      <c r="G271" s="4" t="s">
        <v>45</v>
      </c>
      <c r="H271" s="24" t="s">
        <v>65</v>
      </c>
      <c r="I271" s="14" t="s">
        <v>51</v>
      </c>
      <c r="J271" s="14" t="s">
        <v>61</v>
      </c>
      <c r="K271" s="14" t="s">
        <v>94</v>
      </c>
      <c r="L271" s="14" t="s">
        <v>53</v>
      </c>
      <c r="M271" s="11">
        <f t="shared" si="1"/>
        <v>5</v>
      </c>
      <c r="N271" s="12" t="str">
        <f t="shared" si="2"/>
        <v>MÉDIA</v>
      </c>
    </row>
    <row r="272" ht="22.5" customHeight="1">
      <c r="A272" s="4" t="s">
        <v>823</v>
      </c>
      <c r="B272" s="4">
        <v>2020.0</v>
      </c>
      <c r="C272" s="4" t="s">
        <v>87</v>
      </c>
      <c r="D272" s="4" t="s">
        <v>869</v>
      </c>
      <c r="E272" s="4" t="str">
        <f>IFERROR(VLOOKUP(G272, 'Padronização'!A:C, 2, FALSE), "")</f>
        <v>✅</v>
      </c>
      <c r="F272" s="23" t="str">
        <f>IFERROR(VLOOKUP(G272, 'Padronização'!A:C, 3, FALSE), "")</f>
        <v>ABM/MAS aplicado à evacuação</v>
      </c>
      <c r="G272" s="4" t="s">
        <v>45</v>
      </c>
      <c r="H272" s="24" t="s">
        <v>65</v>
      </c>
      <c r="I272" s="14" t="s">
        <v>66</v>
      </c>
      <c r="J272" s="14" t="s">
        <v>100</v>
      </c>
      <c r="K272" s="14" t="s">
        <v>94</v>
      </c>
      <c r="L272" s="14" t="s">
        <v>53</v>
      </c>
      <c r="M272" s="11">
        <f t="shared" si="1"/>
        <v>4</v>
      </c>
      <c r="N272" s="12" t="str">
        <f t="shared" si="2"/>
        <v>MÉDIA</v>
      </c>
    </row>
    <row r="273" ht="22.5" customHeight="1">
      <c r="A273" s="4" t="s">
        <v>823</v>
      </c>
      <c r="B273" s="4">
        <v>2020.0</v>
      </c>
      <c r="C273" s="4" t="s">
        <v>33</v>
      </c>
      <c r="D273" s="4" t="s">
        <v>871</v>
      </c>
      <c r="E273" s="4" t="str">
        <f>IFERROR(VLOOKUP(G273, 'Padronização'!A:C, 2, FALSE), "")</f>
        <v>✅</v>
      </c>
      <c r="F273" s="23" t="str">
        <f>IFERROR(VLOOKUP(G273, 'Padronização'!A:C, 3, FALSE), "")</f>
        <v>ABM/MAS focado em comportamento humano cognitivo</v>
      </c>
      <c r="G273" s="4" t="s">
        <v>47</v>
      </c>
      <c r="H273" s="24" t="s">
        <v>65</v>
      </c>
      <c r="I273" s="14" t="s">
        <v>66</v>
      </c>
      <c r="J273" s="14" t="s">
        <v>53</v>
      </c>
      <c r="K273" s="14" t="s">
        <v>94</v>
      </c>
      <c r="L273" s="14" t="s">
        <v>53</v>
      </c>
      <c r="M273" s="11">
        <f t="shared" si="1"/>
        <v>5</v>
      </c>
      <c r="N273" s="12" t="str">
        <f t="shared" si="2"/>
        <v>MÉDIA</v>
      </c>
    </row>
    <row r="274" ht="22.5" customHeight="1">
      <c r="A274" s="4" t="s">
        <v>823</v>
      </c>
      <c r="B274" s="4">
        <v>2020.0</v>
      </c>
      <c r="C274" s="4" t="s">
        <v>33</v>
      </c>
      <c r="D274" s="4" t="s">
        <v>873</v>
      </c>
      <c r="E274" s="4" t="str">
        <f>IFERROR(VLOOKUP(G274, 'Padronização'!A:C, 2, FALSE), "")</f>
        <v>✅</v>
      </c>
      <c r="F274" s="23" t="str">
        <f>IFERROR(VLOOKUP(G274, 'Padronização'!A:C, 3, FALSE), "")</f>
        <v>ABM/MAS aplicado à evacuação</v>
      </c>
      <c r="G274" s="4" t="s">
        <v>45</v>
      </c>
      <c r="H274" s="24" t="s">
        <v>456</v>
      </c>
      <c r="I274" s="14" t="s">
        <v>51</v>
      </c>
      <c r="J274" s="14" t="s">
        <v>100</v>
      </c>
      <c r="K274" s="14" t="s">
        <v>94</v>
      </c>
      <c r="L274" s="14" t="s">
        <v>53</v>
      </c>
      <c r="M274" s="11">
        <f t="shared" si="1"/>
        <v>6</v>
      </c>
      <c r="N274" s="12" t="str">
        <f t="shared" si="2"/>
        <v>ALTA</v>
      </c>
    </row>
    <row r="275">
      <c r="H275" s="35"/>
      <c r="I275" s="35"/>
      <c r="K275" s="35"/>
      <c r="N275" s="35"/>
    </row>
    <row r="276">
      <c r="H276" s="35"/>
      <c r="I276" s="35"/>
      <c r="K276" s="35"/>
      <c r="N276" s="35"/>
    </row>
    <row r="277">
      <c r="H277" s="35"/>
      <c r="I277" s="35"/>
      <c r="K277" s="35"/>
      <c r="N277" s="35"/>
    </row>
    <row r="278">
      <c r="H278" s="35"/>
      <c r="I278" s="35"/>
      <c r="K278" s="35"/>
      <c r="N278" s="35"/>
    </row>
    <row r="279">
      <c r="H279" s="35"/>
      <c r="I279" s="35"/>
      <c r="K279" s="35"/>
      <c r="N279" s="35"/>
    </row>
    <row r="280">
      <c r="H280" s="35"/>
      <c r="I280" s="35"/>
      <c r="K280" s="35"/>
      <c r="N280" s="35"/>
    </row>
    <row r="281">
      <c r="H281" s="35"/>
      <c r="I281" s="35"/>
      <c r="K281" s="35"/>
      <c r="N281" s="35"/>
    </row>
    <row r="282">
      <c r="H282" s="35"/>
      <c r="I282" s="35"/>
      <c r="K282" s="35"/>
      <c r="N282" s="35"/>
    </row>
    <row r="283">
      <c r="H283" s="35"/>
      <c r="I283" s="35"/>
      <c r="K283" s="35"/>
      <c r="N283" s="35"/>
    </row>
    <row r="284">
      <c r="H284" s="35"/>
      <c r="I284" s="35"/>
      <c r="K284" s="35"/>
      <c r="N284" s="35"/>
    </row>
    <row r="285">
      <c r="H285" s="35"/>
      <c r="I285" s="35"/>
      <c r="K285" s="35"/>
      <c r="N285" s="35"/>
    </row>
    <row r="286">
      <c r="H286" s="35"/>
      <c r="I286" s="35"/>
      <c r="K286" s="35"/>
      <c r="N286" s="35"/>
    </row>
    <row r="287">
      <c r="H287" s="35"/>
      <c r="I287" s="35"/>
      <c r="K287" s="35"/>
      <c r="N287" s="35"/>
    </row>
    <row r="288">
      <c r="H288" s="35"/>
      <c r="I288" s="35"/>
      <c r="K288" s="35"/>
      <c r="N288" s="35"/>
    </row>
    <row r="289">
      <c r="H289" s="35"/>
      <c r="I289" s="35"/>
      <c r="K289" s="35"/>
      <c r="N289" s="35"/>
    </row>
    <row r="290">
      <c r="H290" s="35"/>
      <c r="I290" s="35"/>
      <c r="K290" s="35"/>
      <c r="N290" s="35"/>
    </row>
    <row r="291">
      <c r="H291" s="35"/>
      <c r="I291" s="35"/>
      <c r="K291" s="35"/>
      <c r="N291" s="35"/>
    </row>
    <row r="292">
      <c r="H292" s="35"/>
      <c r="I292" s="35"/>
      <c r="K292" s="35"/>
      <c r="N292" s="35"/>
    </row>
    <row r="293">
      <c r="H293" s="35"/>
      <c r="I293" s="35"/>
      <c r="K293" s="35"/>
      <c r="N293" s="35"/>
    </row>
    <row r="294">
      <c r="H294" s="35"/>
      <c r="I294" s="35"/>
      <c r="K294" s="35"/>
      <c r="N294" s="35"/>
    </row>
    <row r="295">
      <c r="H295" s="35"/>
      <c r="I295" s="35"/>
      <c r="K295" s="35"/>
      <c r="N295" s="35"/>
    </row>
    <row r="296">
      <c r="H296" s="35"/>
      <c r="I296" s="35"/>
      <c r="K296" s="35"/>
      <c r="N296" s="35"/>
    </row>
    <row r="297">
      <c r="H297" s="35"/>
      <c r="I297" s="35"/>
      <c r="K297" s="35"/>
      <c r="N297" s="35"/>
    </row>
    <row r="298">
      <c r="H298" s="35"/>
      <c r="I298" s="35"/>
      <c r="K298" s="35"/>
      <c r="N298" s="35"/>
    </row>
    <row r="299">
      <c r="H299" s="35"/>
      <c r="I299" s="35"/>
      <c r="K299" s="35"/>
      <c r="N299" s="35"/>
    </row>
    <row r="300">
      <c r="H300" s="35"/>
      <c r="I300" s="35"/>
      <c r="K300" s="35"/>
      <c r="N300" s="35"/>
    </row>
    <row r="301">
      <c r="H301" s="35"/>
      <c r="I301" s="35"/>
      <c r="K301" s="35"/>
      <c r="N301" s="35"/>
    </row>
    <row r="302">
      <c r="H302" s="35"/>
      <c r="I302" s="35"/>
      <c r="K302" s="35"/>
      <c r="N302" s="35"/>
    </row>
    <row r="303">
      <c r="H303" s="35"/>
      <c r="I303" s="35"/>
      <c r="K303" s="35"/>
      <c r="N303" s="35"/>
    </row>
    <row r="304">
      <c r="H304" s="35"/>
      <c r="I304" s="35"/>
      <c r="K304" s="35"/>
      <c r="N304" s="35"/>
    </row>
    <row r="305">
      <c r="H305" s="35"/>
      <c r="I305" s="35"/>
      <c r="K305" s="35"/>
      <c r="N305" s="35"/>
    </row>
    <row r="306">
      <c r="H306" s="35"/>
      <c r="I306" s="35"/>
      <c r="K306" s="35"/>
      <c r="N306" s="35"/>
    </row>
    <row r="307">
      <c r="H307" s="35"/>
      <c r="I307" s="35"/>
      <c r="K307" s="35"/>
      <c r="N307" s="35"/>
    </row>
    <row r="308">
      <c r="H308" s="35"/>
      <c r="I308" s="35"/>
      <c r="K308" s="35"/>
      <c r="N308" s="35"/>
    </row>
    <row r="309">
      <c r="H309" s="35"/>
      <c r="I309" s="35"/>
      <c r="K309" s="35"/>
      <c r="N309" s="35"/>
    </row>
    <row r="310">
      <c r="H310" s="35"/>
      <c r="I310" s="35"/>
      <c r="K310" s="35"/>
      <c r="N310" s="35"/>
    </row>
    <row r="311">
      <c r="H311" s="35"/>
      <c r="I311" s="35"/>
      <c r="K311" s="35"/>
      <c r="N311" s="35"/>
    </row>
    <row r="312">
      <c r="H312" s="35"/>
      <c r="I312" s="35"/>
      <c r="K312" s="35"/>
      <c r="N312" s="35"/>
    </row>
    <row r="313">
      <c r="H313" s="35"/>
      <c r="I313" s="35"/>
      <c r="K313" s="35"/>
      <c r="N313" s="35"/>
    </row>
    <row r="314">
      <c r="H314" s="35"/>
      <c r="I314" s="35"/>
      <c r="K314" s="35"/>
      <c r="N314" s="35"/>
    </row>
    <row r="315">
      <c r="H315" s="35"/>
      <c r="I315" s="35"/>
      <c r="K315" s="35"/>
      <c r="N315" s="35"/>
    </row>
    <row r="316">
      <c r="H316" s="35"/>
      <c r="I316" s="35"/>
      <c r="K316" s="35"/>
      <c r="N316" s="35"/>
    </row>
    <row r="317">
      <c r="H317" s="35"/>
      <c r="I317" s="35"/>
      <c r="K317" s="35"/>
      <c r="N317" s="35"/>
    </row>
    <row r="318">
      <c r="H318" s="35"/>
      <c r="I318" s="35"/>
      <c r="K318" s="35"/>
      <c r="N318" s="35"/>
    </row>
    <row r="319">
      <c r="H319" s="35"/>
      <c r="I319" s="35"/>
      <c r="K319" s="35"/>
      <c r="N319" s="35"/>
    </row>
    <row r="320">
      <c r="H320" s="35"/>
      <c r="I320" s="35"/>
      <c r="K320" s="35"/>
      <c r="N320" s="35"/>
    </row>
    <row r="321">
      <c r="H321" s="35"/>
      <c r="I321" s="35"/>
      <c r="K321" s="35"/>
      <c r="N321" s="35"/>
    </row>
    <row r="322">
      <c r="H322" s="35"/>
      <c r="I322" s="35"/>
      <c r="K322" s="35"/>
      <c r="N322" s="35"/>
    </row>
    <row r="323">
      <c r="H323" s="35"/>
      <c r="I323" s="35"/>
      <c r="K323" s="35"/>
      <c r="N323" s="35"/>
    </row>
    <row r="324">
      <c r="H324" s="35"/>
      <c r="I324" s="35"/>
      <c r="K324" s="35"/>
      <c r="N324" s="35"/>
    </row>
    <row r="325">
      <c r="H325" s="35"/>
      <c r="I325" s="35"/>
      <c r="K325" s="35"/>
      <c r="N325" s="35"/>
    </row>
    <row r="326">
      <c r="H326" s="35"/>
      <c r="I326" s="35"/>
      <c r="K326" s="35"/>
      <c r="N326" s="35"/>
    </row>
    <row r="327">
      <c r="H327" s="35"/>
      <c r="I327" s="35"/>
      <c r="K327" s="35"/>
      <c r="N327" s="35"/>
    </row>
    <row r="328">
      <c r="H328" s="35"/>
      <c r="I328" s="35"/>
      <c r="K328" s="35"/>
      <c r="N328" s="35"/>
    </row>
    <row r="329">
      <c r="H329" s="35"/>
      <c r="I329" s="35"/>
      <c r="K329" s="35"/>
      <c r="N329" s="35"/>
    </row>
    <row r="330">
      <c r="H330" s="35"/>
      <c r="I330" s="35"/>
      <c r="K330" s="35"/>
      <c r="N330" s="35"/>
    </row>
    <row r="331">
      <c r="H331" s="35"/>
      <c r="I331" s="35"/>
      <c r="K331" s="35"/>
      <c r="N331" s="35"/>
    </row>
    <row r="332">
      <c r="H332" s="35"/>
      <c r="I332" s="35"/>
      <c r="K332" s="35"/>
      <c r="N332" s="35"/>
    </row>
    <row r="333">
      <c r="H333" s="35"/>
      <c r="I333" s="35"/>
      <c r="K333" s="35"/>
      <c r="N333" s="35"/>
    </row>
    <row r="334">
      <c r="H334" s="35"/>
      <c r="I334" s="35"/>
      <c r="K334" s="35"/>
      <c r="N334" s="35"/>
    </row>
    <row r="335">
      <c r="H335" s="35"/>
      <c r="I335" s="35"/>
      <c r="K335" s="35"/>
      <c r="N335" s="35"/>
    </row>
    <row r="336">
      <c r="H336" s="35"/>
      <c r="I336" s="35"/>
      <c r="K336" s="35"/>
      <c r="N336" s="35"/>
    </row>
    <row r="337">
      <c r="H337" s="35"/>
      <c r="I337" s="35"/>
      <c r="K337" s="35"/>
      <c r="N337" s="35"/>
    </row>
    <row r="338">
      <c r="H338" s="35"/>
      <c r="I338" s="35"/>
      <c r="K338" s="35"/>
      <c r="N338" s="35"/>
    </row>
    <row r="339">
      <c r="H339" s="35"/>
      <c r="I339" s="35"/>
      <c r="K339" s="35"/>
      <c r="N339" s="35"/>
    </row>
    <row r="340">
      <c r="H340" s="35"/>
      <c r="I340" s="35"/>
      <c r="K340" s="35"/>
      <c r="N340" s="35"/>
    </row>
    <row r="341">
      <c r="H341" s="35"/>
      <c r="I341" s="35"/>
      <c r="K341" s="35"/>
      <c r="N341" s="35"/>
    </row>
    <row r="342">
      <c r="H342" s="35"/>
      <c r="I342" s="35"/>
      <c r="K342" s="35"/>
      <c r="N342" s="35"/>
    </row>
    <row r="343">
      <c r="H343" s="35"/>
      <c r="I343" s="35"/>
      <c r="K343" s="35"/>
      <c r="N343" s="35"/>
    </row>
    <row r="344">
      <c r="H344" s="35"/>
      <c r="I344" s="35"/>
      <c r="K344" s="35"/>
      <c r="N344" s="35"/>
    </row>
    <row r="345">
      <c r="H345" s="35"/>
      <c r="I345" s="35"/>
      <c r="K345" s="35"/>
      <c r="N345" s="35"/>
    </row>
    <row r="346">
      <c r="H346" s="35"/>
      <c r="I346" s="35"/>
      <c r="K346" s="35"/>
      <c r="N346" s="35"/>
    </row>
    <row r="347">
      <c r="H347" s="35"/>
      <c r="I347" s="35"/>
      <c r="K347" s="35"/>
      <c r="N347" s="35"/>
    </row>
    <row r="348">
      <c r="H348" s="35"/>
      <c r="I348" s="35"/>
      <c r="K348" s="35"/>
      <c r="N348" s="35"/>
    </row>
    <row r="349">
      <c r="H349" s="35"/>
      <c r="I349" s="35"/>
      <c r="K349" s="35"/>
      <c r="N349" s="35"/>
    </row>
    <row r="350">
      <c r="H350" s="35"/>
      <c r="I350" s="35"/>
      <c r="K350" s="35"/>
      <c r="N350" s="35"/>
    </row>
    <row r="351">
      <c r="H351" s="35"/>
      <c r="I351" s="35"/>
      <c r="K351" s="35"/>
      <c r="N351" s="35"/>
    </row>
    <row r="352">
      <c r="H352" s="35"/>
      <c r="I352" s="35"/>
      <c r="K352" s="35"/>
      <c r="N352" s="35"/>
    </row>
    <row r="353">
      <c r="H353" s="35"/>
      <c r="I353" s="35"/>
      <c r="K353" s="35"/>
      <c r="N353" s="35"/>
    </row>
    <row r="354">
      <c r="H354" s="35"/>
      <c r="I354" s="35"/>
      <c r="K354" s="35"/>
      <c r="N354" s="35"/>
    </row>
    <row r="355">
      <c r="H355" s="35"/>
      <c r="I355" s="35"/>
      <c r="K355" s="35"/>
      <c r="N355" s="35"/>
    </row>
    <row r="356">
      <c r="H356" s="35"/>
      <c r="I356" s="35"/>
      <c r="K356" s="35"/>
      <c r="N356" s="35"/>
    </row>
    <row r="357">
      <c r="H357" s="35"/>
      <c r="I357" s="35"/>
      <c r="K357" s="35"/>
      <c r="N357" s="35"/>
    </row>
    <row r="358">
      <c r="H358" s="35"/>
      <c r="I358" s="35"/>
      <c r="K358" s="35"/>
      <c r="N358" s="35"/>
    </row>
    <row r="359">
      <c r="H359" s="35"/>
      <c r="I359" s="35"/>
      <c r="K359" s="35"/>
      <c r="N359" s="35"/>
    </row>
    <row r="360">
      <c r="H360" s="35"/>
      <c r="I360" s="35"/>
      <c r="K360" s="35"/>
      <c r="N360" s="35"/>
    </row>
    <row r="361">
      <c r="H361" s="35"/>
      <c r="I361" s="35"/>
      <c r="K361" s="35"/>
      <c r="N361" s="35"/>
    </row>
    <row r="362">
      <c r="H362" s="35"/>
      <c r="I362" s="35"/>
      <c r="K362" s="35"/>
      <c r="N362" s="35"/>
    </row>
    <row r="363">
      <c r="H363" s="35"/>
      <c r="I363" s="35"/>
      <c r="K363" s="35"/>
      <c r="N363" s="35"/>
    </row>
    <row r="364">
      <c r="H364" s="35"/>
      <c r="I364" s="35"/>
      <c r="K364" s="35"/>
      <c r="N364" s="35"/>
    </row>
    <row r="365">
      <c r="H365" s="35"/>
      <c r="I365" s="35"/>
      <c r="K365" s="35"/>
      <c r="N365" s="35"/>
    </row>
    <row r="366">
      <c r="H366" s="35"/>
      <c r="I366" s="35"/>
      <c r="K366" s="35"/>
      <c r="N366" s="35"/>
    </row>
    <row r="367">
      <c r="H367" s="35"/>
      <c r="I367" s="35"/>
      <c r="K367" s="35"/>
      <c r="N367" s="35"/>
    </row>
    <row r="368">
      <c r="H368" s="35"/>
      <c r="I368" s="35"/>
      <c r="K368" s="35"/>
      <c r="N368" s="35"/>
    </row>
    <row r="369">
      <c r="H369" s="35"/>
      <c r="I369" s="35"/>
      <c r="K369" s="35"/>
      <c r="N369" s="35"/>
    </row>
    <row r="370">
      <c r="H370" s="35"/>
      <c r="I370" s="35"/>
      <c r="K370" s="35"/>
      <c r="N370" s="35"/>
    </row>
    <row r="371">
      <c r="H371" s="35"/>
      <c r="I371" s="35"/>
      <c r="K371" s="35"/>
      <c r="N371" s="35"/>
    </row>
    <row r="372">
      <c r="H372" s="35"/>
      <c r="I372" s="35"/>
      <c r="K372" s="35"/>
      <c r="N372" s="35"/>
    </row>
    <row r="373">
      <c r="H373" s="35"/>
      <c r="I373" s="35"/>
      <c r="K373" s="35"/>
      <c r="N373" s="35"/>
    </row>
    <row r="374">
      <c r="H374" s="35"/>
      <c r="I374" s="35"/>
      <c r="K374" s="35"/>
      <c r="N374" s="35"/>
    </row>
    <row r="375">
      <c r="H375" s="35"/>
      <c r="I375" s="35"/>
      <c r="K375" s="35"/>
      <c r="N375" s="35"/>
    </row>
    <row r="376">
      <c r="H376" s="35"/>
      <c r="I376" s="35"/>
      <c r="K376" s="35"/>
      <c r="N376" s="35"/>
    </row>
    <row r="377">
      <c r="H377" s="35"/>
      <c r="I377" s="35"/>
      <c r="K377" s="35"/>
      <c r="N377" s="35"/>
    </row>
    <row r="378">
      <c r="H378" s="35"/>
      <c r="I378" s="35"/>
      <c r="K378" s="35"/>
      <c r="N378" s="35"/>
    </row>
    <row r="379">
      <c r="H379" s="35"/>
      <c r="I379" s="35"/>
      <c r="K379" s="35"/>
      <c r="N379" s="35"/>
    </row>
    <row r="380">
      <c r="H380" s="35"/>
      <c r="I380" s="35"/>
      <c r="K380" s="35"/>
      <c r="N380" s="35"/>
    </row>
    <row r="381">
      <c r="H381" s="35"/>
      <c r="I381" s="35"/>
      <c r="K381" s="35"/>
      <c r="N381" s="35"/>
    </row>
    <row r="382">
      <c r="H382" s="35"/>
      <c r="I382" s="35"/>
      <c r="K382" s="35"/>
      <c r="N382" s="35"/>
    </row>
    <row r="383">
      <c r="H383" s="35"/>
      <c r="I383" s="35"/>
      <c r="K383" s="35"/>
      <c r="N383" s="35"/>
    </row>
    <row r="384">
      <c r="H384" s="35"/>
      <c r="I384" s="35"/>
      <c r="K384" s="35"/>
      <c r="N384" s="35"/>
    </row>
    <row r="385">
      <c r="H385" s="35"/>
      <c r="I385" s="35"/>
      <c r="K385" s="35"/>
      <c r="N385" s="35"/>
    </row>
    <row r="386">
      <c r="H386" s="35"/>
      <c r="I386" s="35"/>
      <c r="K386" s="35"/>
      <c r="N386" s="35"/>
    </row>
    <row r="387">
      <c r="H387" s="35"/>
      <c r="I387" s="35"/>
      <c r="K387" s="35"/>
      <c r="N387" s="35"/>
    </row>
    <row r="388">
      <c r="H388" s="35"/>
      <c r="I388" s="35"/>
      <c r="K388" s="35"/>
      <c r="N388" s="35"/>
    </row>
    <row r="389">
      <c r="H389" s="35"/>
      <c r="I389" s="35"/>
      <c r="K389" s="35"/>
      <c r="N389" s="35"/>
    </row>
    <row r="390">
      <c r="H390" s="35"/>
      <c r="I390" s="35"/>
      <c r="K390" s="35"/>
      <c r="N390" s="35"/>
    </row>
    <row r="391">
      <c r="H391" s="35"/>
      <c r="I391" s="35"/>
      <c r="K391" s="35"/>
      <c r="N391" s="35"/>
    </row>
    <row r="392">
      <c r="H392" s="35"/>
      <c r="I392" s="35"/>
      <c r="K392" s="35"/>
      <c r="N392" s="35"/>
    </row>
    <row r="393">
      <c r="H393" s="35"/>
      <c r="I393" s="35"/>
      <c r="K393" s="35"/>
      <c r="N393" s="35"/>
    </row>
    <row r="394">
      <c r="H394" s="35"/>
      <c r="I394" s="35"/>
      <c r="K394" s="35"/>
      <c r="N394" s="35"/>
    </row>
    <row r="395">
      <c r="H395" s="35"/>
      <c r="I395" s="35"/>
      <c r="K395" s="35"/>
      <c r="N395" s="35"/>
    </row>
    <row r="396">
      <c r="H396" s="35"/>
      <c r="I396" s="35"/>
      <c r="K396" s="35"/>
      <c r="N396" s="35"/>
    </row>
    <row r="397">
      <c r="H397" s="35"/>
      <c r="I397" s="35"/>
      <c r="K397" s="35"/>
      <c r="N397" s="35"/>
    </row>
    <row r="398">
      <c r="H398" s="35"/>
      <c r="I398" s="35"/>
      <c r="K398" s="35"/>
      <c r="N398" s="35"/>
    </row>
    <row r="399">
      <c r="H399" s="35"/>
      <c r="I399" s="35"/>
      <c r="K399" s="35"/>
      <c r="N399" s="35"/>
    </row>
    <row r="400">
      <c r="H400" s="35"/>
      <c r="I400" s="35"/>
      <c r="K400" s="35"/>
      <c r="N400" s="35"/>
    </row>
    <row r="401">
      <c r="H401" s="35"/>
      <c r="I401" s="35"/>
      <c r="K401" s="35"/>
      <c r="N401" s="35"/>
    </row>
    <row r="402">
      <c r="H402" s="35"/>
      <c r="I402" s="35"/>
      <c r="K402" s="35"/>
      <c r="N402" s="35"/>
    </row>
    <row r="403">
      <c r="H403" s="35"/>
      <c r="I403" s="35"/>
      <c r="K403" s="35"/>
      <c r="N403" s="35"/>
    </row>
    <row r="404">
      <c r="H404" s="35"/>
      <c r="I404" s="35"/>
      <c r="K404" s="35"/>
      <c r="N404" s="35"/>
    </row>
    <row r="405">
      <c r="H405" s="35"/>
      <c r="I405" s="35"/>
      <c r="K405" s="35"/>
      <c r="N405" s="35"/>
    </row>
    <row r="406">
      <c r="H406" s="35"/>
      <c r="I406" s="35"/>
      <c r="K406" s="35"/>
      <c r="N406" s="35"/>
    </row>
    <row r="407">
      <c r="H407" s="35"/>
      <c r="I407" s="35"/>
      <c r="K407" s="35"/>
      <c r="N407" s="35"/>
    </row>
    <row r="408">
      <c r="H408" s="35"/>
      <c r="I408" s="35"/>
      <c r="K408" s="35"/>
      <c r="N408" s="35"/>
    </row>
    <row r="409">
      <c r="H409" s="35"/>
      <c r="I409" s="35"/>
      <c r="K409" s="35"/>
      <c r="N409" s="35"/>
    </row>
    <row r="410">
      <c r="H410" s="35"/>
      <c r="I410" s="35"/>
      <c r="K410" s="35"/>
      <c r="N410" s="35"/>
    </row>
    <row r="411">
      <c r="H411" s="35"/>
      <c r="I411" s="35"/>
      <c r="K411" s="35"/>
      <c r="N411" s="35"/>
    </row>
    <row r="412">
      <c r="H412" s="35"/>
      <c r="I412" s="35"/>
      <c r="K412" s="35"/>
      <c r="N412" s="35"/>
    </row>
    <row r="413">
      <c r="H413" s="35"/>
      <c r="I413" s="35"/>
      <c r="K413" s="35"/>
      <c r="N413" s="35"/>
    </row>
    <row r="414">
      <c r="H414" s="35"/>
      <c r="I414" s="35"/>
      <c r="K414" s="35"/>
      <c r="N414" s="35"/>
    </row>
    <row r="415">
      <c r="H415" s="35"/>
      <c r="I415" s="35"/>
      <c r="K415" s="35"/>
      <c r="N415" s="35"/>
    </row>
    <row r="416">
      <c r="H416" s="35"/>
      <c r="I416" s="35"/>
      <c r="K416" s="35"/>
      <c r="N416" s="35"/>
    </row>
    <row r="417">
      <c r="H417" s="35"/>
      <c r="I417" s="35"/>
      <c r="K417" s="35"/>
      <c r="N417" s="35"/>
    </row>
    <row r="418">
      <c r="H418" s="35"/>
      <c r="I418" s="35"/>
      <c r="K418" s="35"/>
      <c r="N418" s="35"/>
    </row>
    <row r="419">
      <c r="H419" s="35"/>
      <c r="I419" s="35"/>
      <c r="K419" s="35"/>
      <c r="N419" s="35"/>
    </row>
    <row r="420">
      <c r="H420" s="35"/>
      <c r="I420" s="35"/>
      <c r="K420" s="35"/>
      <c r="N420" s="35"/>
    </row>
    <row r="421">
      <c r="H421" s="35"/>
      <c r="I421" s="35"/>
      <c r="K421" s="35"/>
      <c r="N421" s="35"/>
    </row>
    <row r="422">
      <c r="H422" s="35"/>
      <c r="I422" s="35"/>
      <c r="K422" s="35"/>
      <c r="N422" s="35"/>
    </row>
    <row r="423">
      <c r="H423" s="35"/>
      <c r="I423" s="35"/>
      <c r="K423" s="35"/>
      <c r="N423" s="35"/>
    </row>
    <row r="424">
      <c r="H424" s="35"/>
      <c r="I424" s="35"/>
      <c r="K424" s="35"/>
      <c r="N424" s="35"/>
    </row>
    <row r="425">
      <c r="H425" s="35"/>
      <c r="I425" s="35"/>
      <c r="K425" s="35"/>
      <c r="N425" s="35"/>
    </row>
    <row r="426">
      <c r="H426" s="35"/>
      <c r="I426" s="35"/>
      <c r="K426" s="35"/>
      <c r="N426" s="35"/>
    </row>
    <row r="427">
      <c r="H427" s="35"/>
      <c r="I427" s="35"/>
      <c r="K427" s="35"/>
      <c r="N427" s="35"/>
    </row>
    <row r="428">
      <c r="H428" s="35"/>
      <c r="I428" s="35"/>
      <c r="K428" s="35"/>
      <c r="N428" s="35"/>
    </row>
    <row r="429">
      <c r="H429" s="35"/>
      <c r="I429" s="35"/>
      <c r="K429" s="35"/>
      <c r="N429" s="35"/>
    </row>
    <row r="430">
      <c r="H430" s="35"/>
      <c r="I430" s="35"/>
      <c r="K430" s="35"/>
      <c r="N430" s="35"/>
    </row>
    <row r="431">
      <c r="H431" s="35"/>
      <c r="I431" s="35"/>
      <c r="K431" s="35"/>
      <c r="N431" s="35"/>
    </row>
    <row r="432">
      <c r="H432" s="35"/>
      <c r="I432" s="35"/>
      <c r="K432" s="35"/>
      <c r="N432" s="35"/>
    </row>
    <row r="433">
      <c r="H433" s="35"/>
      <c r="I433" s="35"/>
      <c r="K433" s="35"/>
      <c r="N433" s="35"/>
    </row>
    <row r="434">
      <c r="H434" s="35"/>
      <c r="I434" s="35"/>
      <c r="K434" s="35"/>
      <c r="N434" s="35"/>
    </row>
    <row r="435">
      <c r="H435" s="35"/>
      <c r="I435" s="35"/>
      <c r="K435" s="35"/>
      <c r="N435" s="35"/>
    </row>
    <row r="436">
      <c r="H436" s="35"/>
      <c r="I436" s="35"/>
      <c r="K436" s="35"/>
      <c r="N436" s="35"/>
    </row>
    <row r="437">
      <c r="H437" s="35"/>
      <c r="I437" s="35"/>
      <c r="K437" s="35"/>
      <c r="N437" s="35"/>
    </row>
    <row r="438">
      <c r="H438" s="35"/>
      <c r="I438" s="35"/>
      <c r="K438" s="35"/>
      <c r="N438" s="35"/>
    </row>
    <row r="439">
      <c r="H439" s="35"/>
      <c r="I439" s="35"/>
      <c r="K439" s="35"/>
      <c r="N439" s="35"/>
    </row>
    <row r="440">
      <c r="H440" s="35"/>
      <c r="I440" s="35"/>
      <c r="K440" s="35"/>
      <c r="N440" s="35"/>
    </row>
    <row r="441">
      <c r="H441" s="35"/>
      <c r="I441" s="35"/>
      <c r="K441" s="35"/>
      <c r="N441" s="35"/>
    </row>
    <row r="442">
      <c r="H442" s="35"/>
      <c r="I442" s="35"/>
      <c r="K442" s="35"/>
      <c r="N442" s="35"/>
    </row>
    <row r="443">
      <c r="H443" s="35"/>
      <c r="I443" s="35"/>
      <c r="K443" s="35"/>
      <c r="N443" s="35"/>
    </row>
    <row r="444">
      <c r="H444" s="35"/>
      <c r="I444" s="35"/>
      <c r="K444" s="35"/>
      <c r="N444" s="35"/>
    </row>
    <row r="445">
      <c r="H445" s="35"/>
      <c r="I445" s="35"/>
      <c r="K445" s="35"/>
      <c r="N445" s="35"/>
    </row>
    <row r="446">
      <c r="H446" s="35"/>
      <c r="I446" s="35"/>
      <c r="K446" s="35"/>
      <c r="N446" s="35"/>
    </row>
    <row r="447">
      <c r="H447" s="35"/>
      <c r="I447" s="35"/>
      <c r="K447" s="35"/>
      <c r="N447" s="35"/>
    </row>
    <row r="448">
      <c r="H448" s="35"/>
      <c r="I448" s="35"/>
      <c r="K448" s="35"/>
      <c r="N448" s="35"/>
    </row>
    <row r="449">
      <c r="H449" s="35"/>
      <c r="I449" s="35"/>
      <c r="K449" s="35"/>
      <c r="N449" s="35"/>
    </row>
    <row r="450">
      <c r="H450" s="35"/>
      <c r="I450" s="35"/>
      <c r="K450" s="35"/>
      <c r="N450" s="35"/>
    </row>
    <row r="451">
      <c r="H451" s="35"/>
      <c r="I451" s="35"/>
      <c r="K451" s="35"/>
      <c r="N451" s="35"/>
    </row>
    <row r="452">
      <c r="H452" s="35"/>
      <c r="I452" s="35"/>
      <c r="K452" s="35"/>
      <c r="N452" s="35"/>
    </row>
    <row r="453">
      <c r="H453" s="35"/>
      <c r="I453" s="35"/>
      <c r="K453" s="35"/>
      <c r="N453" s="35"/>
    </row>
    <row r="454">
      <c r="H454" s="35"/>
      <c r="I454" s="35"/>
      <c r="K454" s="35"/>
      <c r="N454" s="35"/>
    </row>
    <row r="455">
      <c r="H455" s="35"/>
      <c r="I455" s="35"/>
      <c r="K455" s="35"/>
      <c r="N455" s="35"/>
    </row>
    <row r="456">
      <c r="H456" s="35"/>
      <c r="I456" s="35"/>
      <c r="K456" s="35"/>
      <c r="N456" s="35"/>
    </row>
    <row r="457">
      <c r="H457" s="35"/>
      <c r="I457" s="35"/>
      <c r="K457" s="35"/>
      <c r="N457" s="35"/>
    </row>
    <row r="458">
      <c r="H458" s="35"/>
      <c r="I458" s="35"/>
      <c r="K458" s="35"/>
      <c r="N458" s="35"/>
    </row>
    <row r="459">
      <c r="H459" s="35"/>
      <c r="I459" s="35"/>
      <c r="K459" s="35"/>
      <c r="N459" s="35"/>
    </row>
    <row r="460">
      <c r="H460" s="35"/>
      <c r="I460" s="35"/>
      <c r="K460" s="35"/>
      <c r="N460" s="35"/>
    </row>
    <row r="461">
      <c r="H461" s="35"/>
      <c r="I461" s="35"/>
      <c r="K461" s="35"/>
      <c r="N461" s="35"/>
    </row>
    <row r="462">
      <c r="H462" s="35"/>
      <c r="I462" s="35"/>
      <c r="K462" s="35"/>
      <c r="N462" s="35"/>
    </row>
    <row r="463">
      <c r="H463" s="35"/>
      <c r="I463" s="35"/>
      <c r="K463" s="35"/>
      <c r="N463" s="35"/>
    </row>
    <row r="464">
      <c r="H464" s="35"/>
      <c r="I464" s="35"/>
      <c r="K464" s="35"/>
      <c r="N464" s="35"/>
    </row>
    <row r="465">
      <c r="H465" s="35"/>
      <c r="I465" s="35"/>
      <c r="K465" s="35"/>
      <c r="N465" s="35"/>
    </row>
    <row r="466">
      <c r="H466" s="35"/>
      <c r="I466" s="35"/>
      <c r="K466" s="35"/>
      <c r="N466" s="35"/>
    </row>
    <row r="467">
      <c r="H467" s="35"/>
      <c r="I467" s="35"/>
      <c r="K467" s="35"/>
      <c r="N467" s="35"/>
    </row>
    <row r="468">
      <c r="H468" s="35"/>
      <c r="I468" s="35"/>
      <c r="K468" s="35"/>
      <c r="N468" s="35"/>
    </row>
    <row r="469">
      <c r="H469" s="35"/>
      <c r="I469" s="35"/>
      <c r="K469" s="35"/>
      <c r="N469" s="35"/>
    </row>
    <row r="470">
      <c r="H470" s="35"/>
      <c r="I470" s="35"/>
      <c r="K470" s="35"/>
      <c r="N470" s="35"/>
    </row>
    <row r="471">
      <c r="H471" s="35"/>
      <c r="I471" s="35"/>
      <c r="K471" s="35"/>
      <c r="N471" s="35"/>
    </row>
    <row r="472">
      <c r="H472" s="35"/>
      <c r="I472" s="35"/>
      <c r="K472" s="35"/>
      <c r="N472" s="35"/>
    </row>
    <row r="473">
      <c r="H473" s="35"/>
      <c r="I473" s="35"/>
      <c r="K473" s="35"/>
      <c r="N473" s="35"/>
    </row>
    <row r="474">
      <c r="H474" s="35"/>
      <c r="I474" s="35"/>
      <c r="K474" s="35"/>
      <c r="N474" s="35"/>
    </row>
    <row r="475">
      <c r="H475" s="35"/>
      <c r="I475" s="35"/>
      <c r="K475" s="35"/>
      <c r="N475" s="35"/>
    </row>
    <row r="476">
      <c r="H476" s="35"/>
      <c r="I476" s="35"/>
      <c r="K476" s="35"/>
      <c r="N476" s="35"/>
    </row>
    <row r="477">
      <c r="H477" s="35"/>
      <c r="I477" s="35"/>
      <c r="K477" s="35"/>
      <c r="N477" s="35"/>
    </row>
    <row r="478">
      <c r="H478" s="35"/>
      <c r="I478" s="35"/>
      <c r="K478" s="35"/>
      <c r="N478" s="35"/>
    </row>
    <row r="479">
      <c r="H479" s="35"/>
      <c r="I479" s="35"/>
      <c r="K479" s="35"/>
      <c r="N479" s="35"/>
    </row>
    <row r="480">
      <c r="H480" s="35"/>
      <c r="I480" s="35"/>
      <c r="K480" s="35"/>
      <c r="N480" s="35"/>
    </row>
    <row r="481">
      <c r="H481" s="35"/>
      <c r="I481" s="35"/>
      <c r="K481" s="35"/>
      <c r="N481" s="35"/>
    </row>
    <row r="482">
      <c r="H482" s="35"/>
      <c r="I482" s="35"/>
      <c r="K482" s="35"/>
      <c r="N482" s="35"/>
    </row>
    <row r="483">
      <c r="H483" s="35"/>
      <c r="I483" s="35"/>
      <c r="K483" s="35"/>
      <c r="N483" s="35"/>
    </row>
    <row r="484">
      <c r="H484" s="35"/>
      <c r="I484" s="35"/>
      <c r="K484" s="35"/>
      <c r="N484" s="35"/>
    </row>
    <row r="485">
      <c r="H485" s="35"/>
      <c r="I485" s="35"/>
      <c r="K485" s="35"/>
      <c r="N485" s="35"/>
    </row>
    <row r="486">
      <c r="H486" s="35"/>
      <c r="I486" s="35"/>
      <c r="K486" s="35"/>
      <c r="N486" s="35"/>
    </row>
    <row r="487">
      <c r="H487" s="35"/>
      <c r="I487" s="35"/>
      <c r="K487" s="35"/>
      <c r="N487" s="35"/>
    </row>
    <row r="488">
      <c r="H488" s="35"/>
      <c r="I488" s="35"/>
      <c r="K488" s="35"/>
      <c r="N488" s="35"/>
    </row>
    <row r="489">
      <c r="H489" s="35"/>
      <c r="I489" s="35"/>
      <c r="K489" s="35"/>
      <c r="N489" s="35"/>
    </row>
    <row r="490">
      <c r="H490" s="35"/>
      <c r="I490" s="35"/>
      <c r="K490" s="35"/>
      <c r="N490" s="35"/>
    </row>
    <row r="491">
      <c r="H491" s="35"/>
      <c r="I491" s="35"/>
      <c r="K491" s="35"/>
      <c r="N491" s="35"/>
    </row>
    <row r="492">
      <c r="H492" s="35"/>
      <c r="I492" s="35"/>
      <c r="K492" s="35"/>
      <c r="N492" s="35"/>
    </row>
    <row r="493">
      <c r="H493" s="35"/>
      <c r="I493" s="35"/>
      <c r="K493" s="35"/>
      <c r="N493" s="35"/>
    </row>
    <row r="494">
      <c r="H494" s="35"/>
      <c r="I494" s="35"/>
      <c r="K494" s="35"/>
      <c r="N494" s="35"/>
    </row>
    <row r="495">
      <c r="H495" s="35"/>
      <c r="I495" s="35"/>
      <c r="K495" s="35"/>
      <c r="N495" s="35"/>
    </row>
    <row r="496">
      <c r="H496" s="35"/>
      <c r="I496" s="35"/>
      <c r="K496" s="35"/>
      <c r="N496" s="35"/>
    </row>
    <row r="497">
      <c r="H497" s="35"/>
      <c r="I497" s="35"/>
      <c r="K497" s="35"/>
      <c r="N497" s="35"/>
    </row>
    <row r="498">
      <c r="H498" s="35"/>
      <c r="I498" s="35"/>
      <c r="K498" s="35"/>
      <c r="N498" s="35"/>
    </row>
    <row r="499">
      <c r="H499" s="35"/>
      <c r="I499" s="35"/>
      <c r="K499" s="35"/>
      <c r="N499" s="35"/>
    </row>
    <row r="500">
      <c r="H500" s="35"/>
      <c r="I500" s="35"/>
      <c r="K500" s="35"/>
      <c r="N500" s="35"/>
    </row>
    <row r="501">
      <c r="H501" s="35"/>
      <c r="I501" s="35"/>
      <c r="K501" s="35"/>
      <c r="N501" s="35"/>
    </row>
    <row r="502">
      <c r="H502" s="35"/>
      <c r="I502" s="35"/>
      <c r="K502" s="35"/>
      <c r="N502" s="35"/>
    </row>
    <row r="503">
      <c r="H503" s="35"/>
      <c r="I503" s="35"/>
      <c r="K503" s="35"/>
      <c r="N503" s="35"/>
    </row>
    <row r="504">
      <c r="H504" s="35"/>
      <c r="I504" s="35"/>
      <c r="K504" s="35"/>
      <c r="N504" s="35"/>
    </row>
    <row r="505">
      <c r="H505" s="35"/>
      <c r="I505" s="35"/>
      <c r="K505" s="35"/>
      <c r="N505" s="35"/>
    </row>
    <row r="506">
      <c r="H506" s="35"/>
      <c r="I506" s="35"/>
      <c r="K506" s="35"/>
      <c r="N506" s="35"/>
    </row>
    <row r="507">
      <c r="H507" s="35"/>
      <c r="I507" s="35"/>
      <c r="K507" s="35"/>
      <c r="N507" s="35"/>
    </row>
    <row r="508">
      <c r="H508" s="35"/>
      <c r="I508" s="35"/>
      <c r="K508" s="35"/>
      <c r="N508" s="35"/>
    </row>
    <row r="509">
      <c r="H509" s="35"/>
      <c r="I509" s="35"/>
      <c r="K509" s="35"/>
      <c r="N509" s="35"/>
    </row>
    <row r="510">
      <c r="H510" s="35"/>
      <c r="I510" s="35"/>
      <c r="K510" s="35"/>
      <c r="N510" s="35"/>
    </row>
    <row r="511">
      <c r="H511" s="35"/>
      <c r="I511" s="35"/>
      <c r="K511" s="35"/>
      <c r="N511" s="35"/>
    </row>
    <row r="512">
      <c r="H512" s="35"/>
      <c r="I512" s="35"/>
      <c r="K512" s="35"/>
      <c r="N512" s="35"/>
    </row>
    <row r="513">
      <c r="H513" s="35"/>
      <c r="I513" s="35"/>
      <c r="K513" s="35"/>
      <c r="N513" s="35"/>
    </row>
    <row r="514">
      <c r="H514" s="35"/>
      <c r="I514" s="35"/>
      <c r="K514" s="35"/>
      <c r="N514" s="35"/>
    </row>
    <row r="515">
      <c r="H515" s="35"/>
      <c r="I515" s="35"/>
      <c r="K515" s="35"/>
      <c r="N515" s="35"/>
    </row>
    <row r="516">
      <c r="H516" s="35"/>
      <c r="I516" s="35"/>
      <c r="K516" s="35"/>
      <c r="N516" s="35"/>
    </row>
    <row r="517">
      <c r="H517" s="35"/>
      <c r="I517" s="35"/>
      <c r="K517" s="35"/>
      <c r="N517" s="35"/>
    </row>
    <row r="518">
      <c r="H518" s="35"/>
      <c r="I518" s="35"/>
      <c r="K518" s="35"/>
      <c r="N518" s="35"/>
    </row>
    <row r="519">
      <c r="H519" s="35"/>
      <c r="I519" s="35"/>
      <c r="K519" s="35"/>
      <c r="N519" s="35"/>
    </row>
    <row r="520">
      <c r="H520" s="35"/>
      <c r="I520" s="35"/>
      <c r="K520" s="35"/>
      <c r="N520" s="35"/>
    </row>
    <row r="521">
      <c r="H521" s="35"/>
      <c r="I521" s="35"/>
      <c r="K521" s="35"/>
      <c r="N521" s="35"/>
    </row>
    <row r="522">
      <c r="H522" s="35"/>
      <c r="I522" s="35"/>
      <c r="K522" s="35"/>
      <c r="N522" s="35"/>
    </row>
    <row r="523">
      <c r="H523" s="35"/>
      <c r="I523" s="35"/>
      <c r="K523" s="35"/>
      <c r="N523" s="35"/>
    </row>
    <row r="524">
      <c r="H524" s="35"/>
      <c r="I524" s="35"/>
      <c r="K524" s="35"/>
      <c r="N524" s="35"/>
    </row>
    <row r="525">
      <c r="H525" s="35"/>
      <c r="I525" s="35"/>
      <c r="K525" s="35"/>
      <c r="N525" s="35"/>
    </row>
    <row r="526">
      <c r="H526" s="35"/>
      <c r="I526" s="35"/>
      <c r="K526" s="35"/>
      <c r="N526" s="35"/>
    </row>
    <row r="527">
      <c r="H527" s="35"/>
      <c r="I527" s="35"/>
      <c r="K527" s="35"/>
      <c r="N527" s="35"/>
    </row>
    <row r="528">
      <c r="H528" s="35"/>
      <c r="I528" s="35"/>
      <c r="K528" s="35"/>
      <c r="N528" s="35"/>
    </row>
    <row r="529">
      <c r="H529" s="35"/>
      <c r="I529" s="35"/>
      <c r="K529" s="35"/>
      <c r="N529" s="35"/>
    </row>
    <row r="530">
      <c r="H530" s="35"/>
      <c r="I530" s="35"/>
      <c r="K530" s="35"/>
      <c r="N530" s="35"/>
    </row>
    <row r="531">
      <c r="H531" s="35"/>
      <c r="I531" s="35"/>
      <c r="K531" s="35"/>
      <c r="N531" s="35"/>
    </row>
    <row r="532">
      <c r="H532" s="35"/>
      <c r="I532" s="35"/>
      <c r="K532" s="35"/>
      <c r="N532" s="35"/>
    </row>
    <row r="533">
      <c r="H533" s="35"/>
      <c r="I533" s="35"/>
      <c r="K533" s="35"/>
      <c r="N533" s="35"/>
    </row>
    <row r="534">
      <c r="H534" s="35"/>
      <c r="I534" s="35"/>
      <c r="K534" s="35"/>
      <c r="N534" s="35"/>
    </row>
    <row r="535">
      <c r="H535" s="35"/>
      <c r="I535" s="35"/>
      <c r="K535" s="35"/>
      <c r="N535" s="35"/>
    </row>
    <row r="536">
      <c r="H536" s="35"/>
      <c r="I536" s="35"/>
      <c r="K536" s="35"/>
      <c r="N536" s="35"/>
    </row>
    <row r="537">
      <c r="H537" s="35"/>
      <c r="I537" s="35"/>
      <c r="K537" s="35"/>
      <c r="N537" s="35"/>
    </row>
    <row r="538">
      <c r="H538" s="35"/>
      <c r="I538" s="35"/>
      <c r="K538" s="35"/>
      <c r="N538" s="35"/>
    </row>
    <row r="539">
      <c r="H539" s="35"/>
      <c r="I539" s="35"/>
      <c r="K539" s="35"/>
      <c r="N539" s="35"/>
    </row>
    <row r="540">
      <c r="H540" s="35"/>
      <c r="I540" s="35"/>
      <c r="K540" s="35"/>
      <c r="N540" s="35"/>
    </row>
    <row r="541">
      <c r="H541" s="35"/>
      <c r="I541" s="35"/>
      <c r="K541" s="35"/>
      <c r="N541" s="35"/>
    </row>
    <row r="542">
      <c r="H542" s="35"/>
      <c r="I542" s="35"/>
      <c r="K542" s="35"/>
      <c r="N542" s="35"/>
    </row>
    <row r="543">
      <c r="H543" s="35"/>
      <c r="I543" s="35"/>
      <c r="K543" s="35"/>
      <c r="N543" s="35"/>
    </row>
    <row r="544">
      <c r="H544" s="35"/>
      <c r="I544" s="35"/>
      <c r="K544" s="35"/>
      <c r="N544" s="35"/>
    </row>
    <row r="545">
      <c r="H545" s="35"/>
      <c r="I545" s="35"/>
      <c r="K545" s="35"/>
      <c r="N545" s="35"/>
    </row>
    <row r="546">
      <c r="H546" s="35"/>
      <c r="I546" s="35"/>
      <c r="K546" s="35"/>
      <c r="N546" s="35"/>
    </row>
    <row r="547">
      <c r="H547" s="35"/>
      <c r="I547" s="35"/>
      <c r="K547" s="35"/>
      <c r="N547" s="35"/>
    </row>
    <row r="548">
      <c r="H548" s="35"/>
      <c r="I548" s="35"/>
      <c r="K548" s="35"/>
      <c r="N548" s="35"/>
    </row>
    <row r="549">
      <c r="H549" s="35"/>
      <c r="I549" s="35"/>
      <c r="K549" s="35"/>
      <c r="N549" s="35"/>
    </row>
    <row r="550">
      <c r="H550" s="35"/>
      <c r="I550" s="35"/>
      <c r="K550" s="35"/>
      <c r="N550" s="35"/>
    </row>
    <row r="551">
      <c r="H551" s="35"/>
      <c r="I551" s="35"/>
      <c r="K551" s="35"/>
      <c r="N551" s="35"/>
    </row>
    <row r="552">
      <c r="H552" s="35"/>
      <c r="I552" s="35"/>
      <c r="K552" s="35"/>
      <c r="N552" s="35"/>
    </row>
    <row r="553">
      <c r="H553" s="35"/>
      <c r="I553" s="35"/>
      <c r="K553" s="35"/>
      <c r="N553" s="35"/>
    </row>
    <row r="554">
      <c r="H554" s="35"/>
      <c r="I554" s="35"/>
      <c r="K554" s="35"/>
      <c r="N554" s="35"/>
    </row>
    <row r="555">
      <c r="H555" s="35"/>
      <c r="I555" s="35"/>
      <c r="K555" s="35"/>
      <c r="N555" s="35"/>
    </row>
    <row r="556">
      <c r="H556" s="35"/>
      <c r="I556" s="35"/>
      <c r="K556" s="35"/>
      <c r="N556" s="35"/>
    </row>
    <row r="557">
      <c r="H557" s="35"/>
      <c r="I557" s="35"/>
      <c r="K557" s="35"/>
      <c r="N557" s="35"/>
    </row>
    <row r="558">
      <c r="H558" s="35"/>
      <c r="I558" s="35"/>
      <c r="K558" s="35"/>
      <c r="N558" s="35"/>
    </row>
    <row r="559">
      <c r="H559" s="35"/>
      <c r="I559" s="35"/>
      <c r="K559" s="35"/>
      <c r="N559" s="35"/>
    </row>
    <row r="560">
      <c r="H560" s="35"/>
      <c r="I560" s="35"/>
      <c r="K560" s="35"/>
      <c r="N560" s="35"/>
    </row>
    <row r="561">
      <c r="H561" s="35"/>
      <c r="I561" s="35"/>
      <c r="K561" s="35"/>
      <c r="N561" s="35"/>
    </row>
    <row r="562">
      <c r="H562" s="35"/>
      <c r="I562" s="35"/>
      <c r="K562" s="35"/>
      <c r="N562" s="35"/>
    </row>
    <row r="563">
      <c r="H563" s="35"/>
      <c r="I563" s="35"/>
      <c r="K563" s="35"/>
      <c r="N563" s="35"/>
    </row>
    <row r="564">
      <c r="H564" s="35"/>
      <c r="I564" s="35"/>
      <c r="K564" s="35"/>
      <c r="N564" s="35"/>
    </row>
    <row r="565">
      <c r="H565" s="35"/>
      <c r="I565" s="35"/>
      <c r="K565" s="35"/>
      <c r="N565" s="35"/>
    </row>
    <row r="566">
      <c r="H566" s="35"/>
      <c r="I566" s="35"/>
      <c r="K566" s="35"/>
      <c r="N566" s="35"/>
    </row>
    <row r="567">
      <c r="H567" s="35"/>
      <c r="I567" s="35"/>
      <c r="K567" s="35"/>
      <c r="N567" s="35"/>
    </row>
    <row r="568">
      <c r="H568" s="35"/>
      <c r="I568" s="35"/>
      <c r="K568" s="35"/>
      <c r="N568" s="35"/>
    </row>
    <row r="569">
      <c r="H569" s="35"/>
      <c r="I569" s="35"/>
      <c r="K569" s="35"/>
      <c r="N569" s="35"/>
    </row>
    <row r="570">
      <c r="H570" s="35"/>
      <c r="I570" s="35"/>
      <c r="K570" s="35"/>
      <c r="N570" s="35"/>
    </row>
    <row r="571">
      <c r="H571" s="35"/>
      <c r="I571" s="35"/>
      <c r="K571" s="35"/>
      <c r="N571" s="35"/>
    </row>
    <row r="572">
      <c r="H572" s="35"/>
      <c r="I572" s="35"/>
      <c r="K572" s="35"/>
      <c r="N572" s="35"/>
    </row>
    <row r="573">
      <c r="H573" s="35"/>
      <c r="I573" s="35"/>
      <c r="K573" s="35"/>
      <c r="N573" s="35"/>
    </row>
    <row r="574">
      <c r="H574" s="35"/>
      <c r="I574" s="35"/>
      <c r="K574" s="35"/>
      <c r="N574" s="35"/>
    </row>
    <row r="575">
      <c r="H575" s="35"/>
      <c r="I575" s="35"/>
      <c r="K575" s="35"/>
      <c r="N575" s="35"/>
    </row>
    <row r="576">
      <c r="H576" s="35"/>
      <c r="I576" s="35"/>
      <c r="K576" s="35"/>
      <c r="N576" s="35"/>
    </row>
    <row r="577">
      <c r="H577" s="35"/>
      <c r="I577" s="35"/>
      <c r="K577" s="35"/>
      <c r="N577" s="35"/>
    </row>
    <row r="578">
      <c r="H578" s="35"/>
      <c r="I578" s="35"/>
      <c r="K578" s="35"/>
      <c r="N578" s="35"/>
    </row>
    <row r="579">
      <c r="H579" s="35"/>
      <c r="I579" s="35"/>
      <c r="K579" s="35"/>
      <c r="N579" s="35"/>
    </row>
    <row r="580">
      <c r="H580" s="35"/>
      <c r="I580" s="35"/>
      <c r="K580" s="35"/>
      <c r="N580" s="35"/>
    </row>
    <row r="581">
      <c r="H581" s="35"/>
      <c r="I581" s="35"/>
      <c r="K581" s="35"/>
      <c r="N581" s="35"/>
    </row>
    <row r="582">
      <c r="H582" s="35"/>
      <c r="I582" s="35"/>
      <c r="K582" s="35"/>
      <c r="N582" s="35"/>
    </row>
    <row r="583">
      <c r="H583" s="35"/>
      <c r="I583" s="35"/>
      <c r="K583" s="35"/>
      <c r="N583" s="35"/>
    </row>
    <row r="584">
      <c r="H584" s="35"/>
      <c r="I584" s="35"/>
      <c r="K584" s="35"/>
      <c r="N584" s="35"/>
    </row>
    <row r="585">
      <c r="H585" s="35"/>
      <c r="I585" s="35"/>
      <c r="K585" s="35"/>
      <c r="N585" s="35"/>
    </row>
    <row r="586">
      <c r="H586" s="35"/>
      <c r="I586" s="35"/>
      <c r="K586" s="35"/>
      <c r="N586" s="35"/>
    </row>
    <row r="587">
      <c r="H587" s="35"/>
      <c r="I587" s="35"/>
      <c r="K587" s="35"/>
      <c r="N587" s="35"/>
    </row>
    <row r="588">
      <c r="H588" s="35"/>
      <c r="I588" s="35"/>
      <c r="K588" s="35"/>
      <c r="N588" s="35"/>
    </row>
    <row r="589">
      <c r="H589" s="35"/>
      <c r="I589" s="35"/>
      <c r="K589" s="35"/>
      <c r="N589" s="35"/>
    </row>
    <row r="590">
      <c r="H590" s="35"/>
      <c r="I590" s="35"/>
      <c r="K590" s="35"/>
      <c r="N590" s="35"/>
    </row>
    <row r="591">
      <c r="H591" s="35"/>
      <c r="I591" s="35"/>
      <c r="K591" s="35"/>
      <c r="N591" s="35"/>
    </row>
    <row r="592">
      <c r="H592" s="35"/>
      <c r="I592" s="35"/>
      <c r="K592" s="35"/>
      <c r="N592" s="35"/>
    </row>
    <row r="593">
      <c r="H593" s="35"/>
      <c r="I593" s="35"/>
      <c r="K593" s="35"/>
      <c r="N593" s="35"/>
    </row>
    <row r="594">
      <c r="H594" s="35"/>
      <c r="I594" s="35"/>
      <c r="K594" s="35"/>
      <c r="N594" s="35"/>
    </row>
    <row r="595">
      <c r="H595" s="35"/>
      <c r="I595" s="35"/>
      <c r="K595" s="35"/>
      <c r="N595" s="35"/>
    </row>
    <row r="596">
      <c r="H596" s="35"/>
      <c r="I596" s="35"/>
      <c r="K596" s="35"/>
      <c r="N596" s="35"/>
    </row>
    <row r="597">
      <c r="H597" s="35"/>
      <c r="I597" s="35"/>
      <c r="K597" s="35"/>
      <c r="N597" s="35"/>
    </row>
    <row r="598">
      <c r="H598" s="35"/>
      <c r="I598" s="35"/>
      <c r="K598" s="35"/>
      <c r="N598" s="35"/>
    </row>
    <row r="599">
      <c r="H599" s="35"/>
      <c r="I599" s="35"/>
      <c r="K599" s="35"/>
      <c r="N599" s="35"/>
    </row>
    <row r="600">
      <c r="H600" s="35"/>
      <c r="I600" s="35"/>
      <c r="K600" s="35"/>
      <c r="N600" s="35"/>
    </row>
    <row r="601">
      <c r="H601" s="35"/>
      <c r="I601" s="35"/>
      <c r="K601" s="35"/>
      <c r="N601" s="35"/>
    </row>
    <row r="602">
      <c r="H602" s="35"/>
      <c r="I602" s="35"/>
      <c r="K602" s="35"/>
      <c r="N602" s="35"/>
    </row>
    <row r="603">
      <c r="H603" s="35"/>
      <c r="I603" s="35"/>
      <c r="K603" s="35"/>
      <c r="N603" s="35"/>
    </row>
    <row r="604">
      <c r="H604" s="35"/>
      <c r="I604" s="35"/>
      <c r="K604" s="35"/>
      <c r="N604" s="35"/>
    </row>
    <row r="605">
      <c r="H605" s="35"/>
      <c r="I605" s="35"/>
      <c r="K605" s="35"/>
      <c r="N605" s="35"/>
    </row>
    <row r="606">
      <c r="H606" s="35"/>
      <c r="I606" s="35"/>
      <c r="K606" s="35"/>
      <c r="N606" s="35"/>
    </row>
    <row r="607">
      <c r="H607" s="35"/>
      <c r="I607" s="35"/>
      <c r="K607" s="35"/>
      <c r="N607" s="35"/>
    </row>
    <row r="608">
      <c r="H608" s="35"/>
      <c r="I608" s="35"/>
      <c r="K608" s="35"/>
      <c r="N608" s="35"/>
    </row>
    <row r="609">
      <c r="H609" s="35"/>
      <c r="I609" s="35"/>
      <c r="K609" s="35"/>
      <c r="N609" s="35"/>
    </row>
    <row r="610">
      <c r="H610" s="35"/>
      <c r="I610" s="35"/>
      <c r="K610" s="35"/>
      <c r="N610" s="35"/>
    </row>
    <row r="611">
      <c r="H611" s="35"/>
      <c r="I611" s="35"/>
      <c r="K611" s="35"/>
      <c r="N611" s="35"/>
    </row>
    <row r="612">
      <c r="H612" s="35"/>
      <c r="I612" s="35"/>
      <c r="K612" s="35"/>
      <c r="N612" s="35"/>
    </row>
    <row r="613">
      <c r="H613" s="35"/>
      <c r="I613" s="35"/>
      <c r="K613" s="35"/>
      <c r="N613" s="35"/>
    </row>
    <row r="614">
      <c r="H614" s="35"/>
      <c r="I614" s="35"/>
      <c r="K614" s="35"/>
      <c r="N614" s="35"/>
    </row>
    <row r="615">
      <c r="H615" s="35"/>
      <c r="I615" s="35"/>
      <c r="K615" s="35"/>
      <c r="N615" s="35"/>
    </row>
    <row r="616">
      <c r="H616" s="35"/>
      <c r="I616" s="35"/>
      <c r="K616" s="35"/>
      <c r="N616" s="35"/>
    </row>
    <row r="617">
      <c r="H617" s="35"/>
      <c r="I617" s="35"/>
      <c r="K617" s="35"/>
      <c r="N617" s="35"/>
    </row>
    <row r="618">
      <c r="H618" s="35"/>
      <c r="I618" s="35"/>
      <c r="K618" s="35"/>
      <c r="N618" s="35"/>
    </row>
    <row r="619">
      <c r="H619" s="35"/>
      <c r="I619" s="35"/>
      <c r="K619" s="35"/>
      <c r="N619" s="35"/>
    </row>
    <row r="620">
      <c r="H620" s="35"/>
      <c r="I620" s="35"/>
      <c r="K620" s="35"/>
      <c r="N620" s="35"/>
    </row>
    <row r="621">
      <c r="H621" s="35"/>
      <c r="I621" s="35"/>
      <c r="K621" s="35"/>
      <c r="N621" s="35"/>
    </row>
    <row r="622">
      <c r="H622" s="35"/>
      <c r="I622" s="35"/>
      <c r="K622" s="35"/>
      <c r="N622" s="35"/>
    </row>
    <row r="623">
      <c r="H623" s="35"/>
      <c r="I623" s="35"/>
      <c r="K623" s="35"/>
      <c r="N623" s="35"/>
    </row>
    <row r="624">
      <c r="H624" s="35"/>
      <c r="I624" s="35"/>
      <c r="K624" s="35"/>
      <c r="N624" s="35"/>
    </row>
    <row r="625">
      <c r="H625" s="35"/>
      <c r="I625" s="35"/>
      <c r="K625" s="35"/>
      <c r="N625" s="35"/>
    </row>
    <row r="626">
      <c r="H626" s="35"/>
      <c r="I626" s="35"/>
      <c r="K626" s="35"/>
      <c r="N626" s="35"/>
    </row>
    <row r="627">
      <c r="H627" s="35"/>
      <c r="I627" s="35"/>
      <c r="K627" s="35"/>
      <c r="N627" s="35"/>
    </row>
    <row r="628">
      <c r="H628" s="35"/>
      <c r="I628" s="35"/>
      <c r="K628" s="35"/>
      <c r="N628" s="35"/>
    </row>
    <row r="629">
      <c r="H629" s="35"/>
      <c r="I629" s="35"/>
      <c r="K629" s="35"/>
      <c r="N629" s="35"/>
    </row>
    <row r="630">
      <c r="H630" s="35"/>
      <c r="I630" s="35"/>
      <c r="K630" s="35"/>
      <c r="N630" s="35"/>
    </row>
    <row r="631">
      <c r="H631" s="35"/>
      <c r="I631" s="35"/>
      <c r="K631" s="35"/>
      <c r="N631" s="35"/>
    </row>
    <row r="632">
      <c r="H632" s="35"/>
      <c r="I632" s="35"/>
      <c r="K632" s="35"/>
      <c r="N632" s="35"/>
    </row>
    <row r="633">
      <c r="H633" s="35"/>
      <c r="I633" s="35"/>
      <c r="K633" s="35"/>
      <c r="N633" s="35"/>
    </row>
    <row r="634">
      <c r="H634" s="35"/>
      <c r="I634" s="35"/>
      <c r="K634" s="35"/>
      <c r="N634" s="35"/>
    </row>
    <row r="635">
      <c r="H635" s="35"/>
      <c r="I635" s="35"/>
      <c r="K635" s="35"/>
      <c r="N635" s="35"/>
    </row>
    <row r="636">
      <c r="H636" s="35"/>
      <c r="I636" s="35"/>
      <c r="K636" s="35"/>
      <c r="N636" s="35"/>
    </row>
    <row r="637">
      <c r="H637" s="35"/>
      <c r="I637" s="35"/>
      <c r="K637" s="35"/>
      <c r="N637" s="35"/>
    </row>
    <row r="638">
      <c r="H638" s="35"/>
      <c r="I638" s="35"/>
      <c r="K638" s="35"/>
      <c r="N638" s="35"/>
    </row>
    <row r="639">
      <c r="H639" s="35"/>
      <c r="I639" s="35"/>
      <c r="K639" s="35"/>
      <c r="N639" s="35"/>
    </row>
    <row r="640">
      <c r="H640" s="35"/>
      <c r="I640" s="35"/>
      <c r="K640" s="35"/>
      <c r="N640" s="35"/>
    </row>
    <row r="641">
      <c r="H641" s="35"/>
      <c r="I641" s="35"/>
      <c r="K641" s="35"/>
      <c r="N641" s="35"/>
    </row>
    <row r="642">
      <c r="H642" s="35"/>
      <c r="I642" s="35"/>
      <c r="K642" s="35"/>
      <c r="N642" s="35"/>
    </row>
    <row r="643">
      <c r="H643" s="35"/>
      <c r="I643" s="35"/>
      <c r="K643" s="35"/>
      <c r="N643" s="35"/>
    </row>
    <row r="644">
      <c r="H644" s="35"/>
      <c r="I644" s="35"/>
      <c r="K644" s="35"/>
      <c r="N644" s="35"/>
    </row>
    <row r="645">
      <c r="H645" s="35"/>
      <c r="I645" s="35"/>
      <c r="K645" s="35"/>
      <c r="N645" s="35"/>
    </row>
    <row r="646">
      <c r="H646" s="35"/>
      <c r="I646" s="35"/>
      <c r="K646" s="35"/>
      <c r="N646" s="35"/>
    </row>
    <row r="647">
      <c r="H647" s="35"/>
      <c r="I647" s="35"/>
      <c r="K647" s="35"/>
      <c r="N647" s="35"/>
    </row>
    <row r="648">
      <c r="H648" s="35"/>
      <c r="I648" s="35"/>
      <c r="K648" s="35"/>
      <c r="N648" s="35"/>
    </row>
    <row r="649">
      <c r="H649" s="35"/>
      <c r="I649" s="35"/>
      <c r="K649" s="35"/>
      <c r="N649" s="35"/>
    </row>
    <row r="650">
      <c r="H650" s="35"/>
      <c r="I650" s="35"/>
      <c r="K650" s="35"/>
      <c r="N650" s="35"/>
    </row>
    <row r="651">
      <c r="H651" s="35"/>
      <c r="I651" s="35"/>
      <c r="K651" s="35"/>
      <c r="N651" s="35"/>
    </row>
    <row r="652">
      <c r="H652" s="35"/>
      <c r="I652" s="35"/>
      <c r="K652" s="35"/>
      <c r="N652" s="35"/>
    </row>
    <row r="653">
      <c r="H653" s="35"/>
      <c r="I653" s="35"/>
      <c r="K653" s="35"/>
      <c r="N653" s="35"/>
    </row>
    <row r="654">
      <c r="H654" s="35"/>
      <c r="I654" s="35"/>
      <c r="K654" s="35"/>
      <c r="N654" s="35"/>
    </row>
    <row r="655">
      <c r="H655" s="35"/>
      <c r="I655" s="35"/>
      <c r="K655" s="35"/>
      <c r="N655" s="35"/>
    </row>
    <row r="656">
      <c r="H656" s="35"/>
      <c r="I656" s="35"/>
      <c r="K656" s="35"/>
      <c r="N656" s="35"/>
    </row>
    <row r="657">
      <c r="H657" s="35"/>
      <c r="I657" s="35"/>
      <c r="K657" s="35"/>
      <c r="N657" s="35"/>
    </row>
    <row r="658">
      <c r="H658" s="35"/>
      <c r="I658" s="35"/>
      <c r="K658" s="35"/>
      <c r="N658" s="35"/>
    </row>
    <row r="659">
      <c r="H659" s="35"/>
      <c r="I659" s="35"/>
      <c r="K659" s="35"/>
      <c r="N659" s="35"/>
    </row>
    <row r="660">
      <c r="H660" s="35"/>
      <c r="I660" s="35"/>
      <c r="K660" s="35"/>
      <c r="N660" s="35"/>
    </row>
    <row r="661">
      <c r="H661" s="35"/>
      <c r="I661" s="35"/>
      <c r="K661" s="35"/>
      <c r="N661" s="35"/>
    </row>
    <row r="662">
      <c r="H662" s="35"/>
      <c r="I662" s="35"/>
      <c r="K662" s="35"/>
      <c r="N662" s="35"/>
    </row>
    <row r="663">
      <c r="H663" s="35"/>
      <c r="I663" s="35"/>
      <c r="K663" s="35"/>
      <c r="N663" s="35"/>
    </row>
    <row r="664">
      <c r="H664" s="35"/>
      <c r="I664" s="35"/>
      <c r="K664" s="35"/>
      <c r="N664" s="35"/>
    </row>
    <row r="665">
      <c r="H665" s="35"/>
      <c r="I665" s="35"/>
      <c r="K665" s="35"/>
      <c r="N665" s="35"/>
    </row>
    <row r="666">
      <c r="H666" s="35"/>
      <c r="I666" s="35"/>
      <c r="K666" s="35"/>
      <c r="N666" s="35"/>
    </row>
    <row r="667">
      <c r="H667" s="35"/>
      <c r="I667" s="35"/>
      <c r="K667" s="35"/>
      <c r="N667" s="35"/>
    </row>
    <row r="668">
      <c r="H668" s="35"/>
      <c r="I668" s="35"/>
      <c r="K668" s="35"/>
      <c r="N668" s="35"/>
    </row>
    <row r="669">
      <c r="H669" s="35"/>
      <c r="I669" s="35"/>
      <c r="K669" s="35"/>
      <c r="N669" s="35"/>
    </row>
    <row r="670">
      <c r="H670" s="35"/>
      <c r="I670" s="35"/>
      <c r="K670" s="35"/>
      <c r="N670" s="35"/>
    </row>
    <row r="671">
      <c r="H671" s="35"/>
      <c r="I671" s="35"/>
      <c r="K671" s="35"/>
      <c r="N671" s="35"/>
    </row>
    <row r="672">
      <c r="H672" s="35"/>
      <c r="I672" s="35"/>
      <c r="K672" s="35"/>
      <c r="N672" s="35"/>
    </row>
    <row r="673">
      <c r="H673" s="35"/>
      <c r="I673" s="35"/>
      <c r="K673" s="35"/>
      <c r="N673" s="35"/>
    </row>
    <row r="674">
      <c r="H674" s="35"/>
      <c r="I674" s="35"/>
      <c r="K674" s="35"/>
      <c r="N674" s="35"/>
    </row>
    <row r="675">
      <c r="H675" s="35"/>
      <c r="I675" s="35"/>
      <c r="K675" s="35"/>
      <c r="N675" s="35"/>
    </row>
    <row r="676">
      <c r="H676" s="35"/>
      <c r="I676" s="35"/>
      <c r="K676" s="35"/>
      <c r="N676" s="35"/>
    </row>
    <row r="677">
      <c r="H677" s="35"/>
      <c r="I677" s="35"/>
      <c r="K677" s="35"/>
      <c r="N677" s="35"/>
    </row>
    <row r="678">
      <c r="H678" s="35"/>
      <c r="I678" s="35"/>
      <c r="K678" s="35"/>
      <c r="N678" s="35"/>
    </row>
    <row r="679">
      <c r="H679" s="35"/>
      <c r="I679" s="35"/>
      <c r="K679" s="35"/>
      <c r="N679" s="35"/>
    </row>
    <row r="680">
      <c r="H680" s="35"/>
      <c r="I680" s="35"/>
      <c r="K680" s="35"/>
      <c r="N680" s="35"/>
    </row>
    <row r="681">
      <c r="H681" s="35"/>
      <c r="I681" s="35"/>
      <c r="K681" s="35"/>
      <c r="N681" s="35"/>
    </row>
    <row r="682">
      <c r="H682" s="35"/>
      <c r="I682" s="35"/>
      <c r="K682" s="35"/>
      <c r="N682" s="35"/>
    </row>
    <row r="683">
      <c r="H683" s="35"/>
      <c r="I683" s="35"/>
      <c r="K683" s="35"/>
      <c r="N683" s="35"/>
    </row>
    <row r="684">
      <c r="H684" s="35"/>
      <c r="I684" s="35"/>
      <c r="K684" s="35"/>
      <c r="N684" s="35"/>
    </row>
    <row r="685">
      <c r="H685" s="35"/>
      <c r="I685" s="35"/>
      <c r="K685" s="35"/>
      <c r="N685" s="35"/>
    </row>
    <row r="686">
      <c r="H686" s="35"/>
      <c r="I686" s="35"/>
      <c r="K686" s="35"/>
      <c r="N686" s="35"/>
    </row>
    <row r="687">
      <c r="H687" s="35"/>
      <c r="I687" s="35"/>
      <c r="K687" s="35"/>
      <c r="N687" s="35"/>
    </row>
    <row r="688">
      <c r="H688" s="35"/>
      <c r="I688" s="35"/>
      <c r="K688" s="35"/>
      <c r="N688" s="35"/>
    </row>
    <row r="689">
      <c r="H689" s="35"/>
      <c r="I689" s="35"/>
      <c r="K689" s="35"/>
      <c r="N689" s="35"/>
    </row>
    <row r="690">
      <c r="H690" s="35"/>
      <c r="I690" s="35"/>
      <c r="K690" s="35"/>
      <c r="N690" s="35"/>
    </row>
    <row r="691">
      <c r="H691" s="35"/>
      <c r="I691" s="35"/>
      <c r="K691" s="35"/>
      <c r="N691" s="35"/>
    </row>
    <row r="692">
      <c r="H692" s="35"/>
      <c r="I692" s="35"/>
      <c r="K692" s="35"/>
      <c r="N692" s="35"/>
    </row>
    <row r="693">
      <c r="H693" s="35"/>
      <c r="I693" s="35"/>
      <c r="K693" s="35"/>
      <c r="N693" s="35"/>
    </row>
    <row r="694">
      <c r="H694" s="35"/>
      <c r="I694" s="35"/>
      <c r="K694" s="35"/>
      <c r="N694" s="35"/>
    </row>
    <row r="695">
      <c r="H695" s="35"/>
      <c r="I695" s="35"/>
      <c r="K695" s="35"/>
      <c r="N695" s="35"/>
    </row>
    <row r="696">
      <c r="H696" s="35"/>
      <c r="I696" s="35"/>
      <c r="K696" s="35"/>
      <c r="N696" s="35"/>
    </row>
    <row r="697">
      <c r="H697" s="35"/>
      <c r="I697" s="35"/>
      <c r="K697" s="35"/>
      <c r="N697" s="35"/>
    </row>
    <row r="698">
      <c r="H698" s="35"/>
      <c r="I698" s="35"/>
      <c r="K698" s="35"/>
      <c r="N698" s="35"/>
    </row>
    <row r="699">
      <c r="H699" s="35"/>
      <c r="I699" s="35"/>
      <c r="K699" s="35"/>
      <c r="N699" s="35"/>
    </row>
    <row r="700">
      <c r="H700" s="35"/>
      <c r="I700" s="35"/>
      <c r="K700" s="35"/>
      <c r="N700" s="35"/>
    </row>
    <row r="701">
      <c r="H701" s="35"/>
      <c r="I701" s="35"/>
      <c r="K701" s="35"/>
      <c r="N701" s="35"/>
    </row>
    <row r="702">
      <c r="H702" s="35"/>
      <c r="I702" s="35"/>
      <c r="K702" s="35"/>
      <c r="N702" s="35"/>
    </row>
    <row r="703">
      <c r="H703" s="35"/>
      <c r="I703" s="35"/>
      <c r="K703" s="35"/>
      <c r="N703" s="35"/>
    </row>
    <row r="704">
      <c r="H704" s="35"/>
      <c r="I704" s="35"/>
      <c r="K704" s="35"/>
      <c r="N704" s="35"/>
    </row>
    <row r="705">
      <c r="H705" s="35"/>
      <c r="I705" s="35"/>
      <c r="K705" s="35"/>
      <c r="N705" s="35"/>
    </row>
    <row r="706">
      <c r="H706" s="35"/>
      <c r="I706" s="35"/>
      <c r="K706" s="35"/>
      <c r="N706" s="35"/>
    </row>
    <row r="707">
      <c r="H707" s="35"/>
      <c r="I707" s="35"/>
      <c r="K707" s="35"/>
      <c r="N707" s="35"/>
    </row>
    <row r="708">
      <c r="H708" s="35"/>
      <c r="I708" s="35"/>
      <c r="K708" s="35"/>
      <c r="N708" s="35"/>
    </row>
    <row r="709">
      <c r="H709" s="35"/>
      <c r="I709" s="35"/>
      <c r="K709" s="35"/>
      <c r="N709" s="35"/>
    </row>
    <row r="710">
      <c r="H710" s="35"/>
      <c r="I710" s="35"/>
      <c r="K710" s="35"/>
      <c r="N710" s="35"/>
    </row>
    <row r="711">
      <c r="H711" s="35"/>
      <c r="I711" s="35"/>
      <c r="K711" s="35"/>
      <c r="N711" s="35"/>
    </row>
    <row r="712">
      <c r="H712" s="35"/>
      <c r="I712" s="35"/>
      <c r="K712" s="35"/>
      <c r="N712" s="35"/>
    </row>
    <row r="713">
      <c r="H713" s="35"/>
      <c r="I713" s="35"/>
      <c r="K713" s="35"/>
      <c r="N713" s="35"/>
    </row>
    <row r="714">
      <c r="H714" s="35"/>
      <c r="I714" s="35"/>
      <c r="K714" s="35"/>
      <c r="N714" s="35"/>
    </row>
    <row r="715">
      <c r="H715" s="35"/>
      <c r="I715" s="35"/>
      <c r="K715" s="35"/>
      <c r="N715" s="35"/>
    </row>
    <row r="716">
      <c r="H716" s="35"/>
      <c r="I716" s="35"/>
      <c r="K716" s="35"/>
      <c r="N716" s="35"/>
    </row>
    <row r="717">
      <c r="H717" s="35"/>
      <c r="I717" s="35"/>
      <c r="K717" s="35"/>
      <c r="N717" s="35"/>
    </row>
    <row r="718">
      <c r="H718" s="35"/>
      <c r="I718" s="35"/>
      <c r="K718" s="35"/>
      <c r="N718" s="35"/>
    </row>
    <row r="719">
      <c r="H719" s="35"/>
      <c r="I719" s="35"/>
      <c r="K719" s="35"/>
      <c r="N719" s="35"/>
    </row>
    <row r="720">
      <c r="H720" s="35"/>
      <c r="I720" s="35"/>
      <c r="K720" s="35"/>
      <c r="N720" s="35"/>
    </row>
    <row r="721">
      <c r="H721" s="35"/>
      <c r="I721" s="35"/>
      <c r="K721" s="35"/>
      <c r="N721" s="35"/>
    </row>
    <row r="722">
      <c r="H722" s="35"/>
      <c r="I722" s="35"/>
      <c r="K722" s="35"/>
      <c r="N722" s="35"/>
    </row>
    <row r="723">
      <c r="H723" s="35"/>
      <c r="I723" s="35"/>
      <c r="K723" s="35"/>
      <c r="N723" s="35"/>
    </row>
    <row r="724">
      <c r="H724" s="35"/>
      <c r="I724" s="35"/>
      <c r="K724" s="35"/>
      <c r="N724" s="35"/>
    </row>
    <row r="725">
      <c r="H725" s="35"/>
      <c r="I725" s="35"/>
      <c r="K725" s="35"/>
      <c r="N725" s="35"/>
    </row>
    <row r="726">
      <c r="H726" s="35"/>
      <c r="I726" s="35"/>
      <c r="K726" s="35"/>
      <c r="N726" s="35"/>
    </row>
    <row r="727">
      <c r="H727" s="35"/>
      <c r="I727" s="35"/>
      <c r="K727" s="35"/>
      <c r="N727" s="35"/>
    </row>
    <row r="728">
      <c r="H728" s="35"/>
      <c r="I728" s="35"/>
      <c r="K728" s="35"/>
      <c r="N728" s="35"/>
    </row>
    <row r="729">
      <c r="H729" s="35"/>
      <c r="I729" s="35"/>
      <c r="K729" s="35"/>
      <c r="N729" s="35"/>
    </row>
    <row r="730">
      <c r="H730" s="35"/>
      <c r="I730" s="35"/>
      <c r="K730" s="35"/>
      <c r="N730" s="35"/>
    </row>
    <row r="731">
      <c r="H731" s="35"/>
      <c r="I731" s="35"/>
      <c r="K731" s="35"/>
      <c r="N731" s="35"/>
    </row>
    <row r="732">
      <c r="H732" s="35"/>
      <c r="I732" s="35"/>
      <c r="K732" s="35"/>
      <c r="N732" s="35"/>
    </row>
    <row r="733">
      <c r="H733" s="35"/>
      <c r="I733" s="35"/>
      <c r="K733" s="35"/>
      <c r="N733" s="35"/>
    </row>
    <row r="734">
      <c r="H734" s="35"/>
      <c r="I734" s="35"/>
      <c r="K734" s="35"/>
      <c r="N734" s="35"/>
    </row>
    <row r="735">
      <c r="H735" s="35"/>
      <c r="I735" s="35"/>
      <c r="K735" s="35"/>
      <c r="N735" s="35"/>
    </row>
    <row r="736">
      <c r="H736" s="35"/>
      <c r="I736" s="35"/>
      <c r="K736" s="35"/>
      <c r="N736" s="35"/>
    </row>
    <row r="737">
      <c r="H737" s="35"/>
      <c r="I737" s="35"/>
      <c r="K737" s="35"/>
      <c r="N737" s="35"/>
    </row>
    <row r="738">
      <c r="H738" s="35"/>
      <c r="I738" s="35"/>
      <c r="K738" s="35"/>
      <c r="N738" s="35"/>
    </row>
    <row r="739">
      <c r="H739" s="35"/>
      <c r="I739" s="35"/>
      <c r="K739" s="35"/>
      <c r="N739" s="35"/>
    </row>
    <row r="740">
      <c r="H740" s="35"/>
      <c r="I740" s="35"/>
      <c r="K740" s="35"/>
      <c r="N740" s="35"/>
    </row>
    <row r="741">
      <c r="H741" s="35"/>
      <c r="I741" s="35"/>
      <c r="K741" s="35"/>
      <c r="N741" s="35"/>
    </row>
    <row r="742">
      <c r="H742" s="35"/>
      <c r="I742" s="35"/>
      <c r="K742" s="35"/>
      <c r="N742" s="35"/>
    </row>
    <row r="743">
      <c r="H743" s="35"/>
      <c r="I743" s="35"/>
      <c r="K743" s="35"/>
      <c r="N743" s="35"/>
    </row>
    <row r="744">
      <c r="H744" s="35"/>
      <c r="I744" s="35"/>
      <c r="K744" s="35"/>
      <c r="N744" s="35"/>
    </row>
    <row r="745">
      <c r="H745" s="35"/>
      <c r="I745" s="35"/>
      <c r="K745" s="35"/>
      <c r="N745" s="35"/>
    </row>
    <row r="746">
      <c r="H746" s="35"/>
      <c r="I746" s="35"/>
      <c r="K746" s="35"/>
      <c r="N746" s="35"/>
    </row>
    <row r="747">
      <c r="H747" s="35"/>
      <c r="I747" s="35"/>
      <c r="K747" s="35"/>
      <c r="N747" s="35"/>
    </row>
    <row r="748">
      <c r="H748" s="35"/>
      <c r="I748" s="35"/>
      <c r="K748" s="35"/>
      <c r="N748" s="35"/>
    </row>
    <row r="749">
      <c r="H749" s="35"/>
      <c r="I749" s="35"/>
      <c r="K749" s="35"/>
      <c r="N749" s="35"/>
    </row>
    <row r="750">
      <c r="H750" s="35"/>
      <c r="I750" s="35"/>
      <c r="K750" s="35"/>
      <c r="N750" s="35"/>
    </row>
    <row r="751">
      <c r="H751" s="35"/>
      <c r="I751" s="35"/>
      <c r="K751" s="35"/>
      <c r="N751" s="35"/>
    </row>
    <row r="752">
      <c r="H752" s="35"/>
      <c r="I752" s="35"/>
      <c r="K752" s="35"/>
      <c r="N752" s="35"/>
    </row>
    <row r="753">
      <c r="H753" s="35"/>
      <c r="I753" s="35"/>
      <c r="K753" s="35"/>
      <c r="N753" s="35"/>
    </row>
    <row r="754">
      <c r="H754" s="35"/>
      <c r="I754" s="35"/>
      <c r="K754" s="35"/>
      <c r="N754" s="35"/>
    </row>
    <row r="755">
      <c r="H755" s="35"/>
      <c r="I755" s="35"/>
      <c r="K755" s="35"/>
      <c r="N755" s="35"/>
    </row>
    <row r="756">
      <c r="H756" s="35"/>
      <c r="I756" s="35"/>
      <c r="K756" s="35"/>
      <c r="N756" s="35"/>
    </row>
    <row r="757">
      <c r="H757" s="35"/>
      <c r="I757" s="35"/>
      <c r="K757" s="35"/>
      <c r="N757" s="35"/>
    </row>
    <row r="758">
      <c r="H758" s="35"/>
      <c r="I758" s="35"/>
      <c r="K758" s="35"/>
      <c r="N758" s="35"/>
    </row>
    <row r="759">
      <c r="H759" s="35"/>
      <c r="I759" s="35"/>
      <c r="K759" s="35"/>
      <c r="N759" s="35"/>
    </row>
    <row r="760">
      <c r="H760" s="35"/>
      <c r="I760" s="35"/>
      <c r="K760" s="35"/>
      <c r="N760" s="35"/>
    </row>
    <row r="761">
      <c r="H761" s="35"/>
      <c r="I761" s="35"/>
      <c r="K761" s="35"/>
      <c r="N761" s="35"/>
    </row>
    <row r="762">
      <c r="H762" s="35"/>
      <c r="I762" s="35"/>
      <c r="K762" s="35"/>
      <c r="N762" s="35"/>
    </row>
    <row r="763">
      <c r="H763" s="35"/>
      <c r="I763" s="35"/>
      <c r="K763" s="35"/>
      <c r="N763" s="35"/>
    </row>
    <row r="764">
      <c r="H764" s="35"/>
      <c r="I764" s="35"/>
      <c r="K764" s="35"/>
      <c r="N764" s="35"/>
    </row>
    <row r="765">
      <c r="H765" s="35"/>
      <c r="I765" s="35"/>
      <c r="K765" s="35"/>
      <c r="N765" s="35"/>
    </row>
    <row r="766">
      <c r="H766" s="35"/>
      <c r="I766" s="35"/>
      <c r="K766" s="35"/>
      <c r="N766" s="35"/>
    </row>
    <row r="767">
      <c r="H767" s="35"/>
      <c r="I767" s="35"/>
      <c r="K767" s="35"/>
      <c r="N767" s="35"/>
    </row>
    <row r="768">
      <c r="H768" s="35"/>
      <c r="I768" s="35"/>
      <c r="K768" s="35"/>
      <c r="N768" s="35"/>
    </row>
    <row r="769">
      <c r="H769" s="35"/>
      <c r="I769" s="35"/>
      <c r="K769" s="35"/>
      <c r="N769" s="35"/>
    </row>
    <row r="770">
      <c r="H770" s="35"/>
      <c r="I770" s="35"/>
      <c r="K770" s="35"/>
      <c r="N770" s="35"/>
    </row>
    <row r="771">
      <c r="H771" s="35"/>
      <c r="I771" s="35"/>
      <c r="K771" s="35"/>
      <c r="N771" s="35"/>
    </row>
    <row r="772">
      <c r="H772" s="35"/>
      <c r="I772" s="35"/>
      <c r="K772" s="35"/>
      <c r="N772" s="35"/>
    </row>
    <row r="773">
      <c r="H773" s="35"/>
      <c r="I773" s="35"/>
      <c r="K773" s="35"/>
      <c r="N773" s="35"/>
    </row>
    <row r="774">
      <c r="H774" s="35"/>
      <c r="I774" s="35"/>
      <c r="K774" s="35"/>
      <c r="N774" s="35"/>
    </row>
    <row r="775">
      <c r="H775" s="35"/>
      <c r="I775" s="35"/>
      <c r="K775" s="35"/>
      <c r="N775" s="35"/>
    </row>
    <row r="776">
      <c r="H776" s="35"/>
      <c r="I776" s="35"/>
      <c r="K776" s="35"/>
      <c r="N776" s="35"/>
    </row>
    <row r="777">
      <c r="H777" s="35"/>
      <c r="I777" s="35"/>
      <c r="K777" s="35"/>
      <c r="N777" s="35"/>
    </row>
    <row r="778">
      <c r="H778" s="35"/>
      <c r="I778" s="35"/>
      <c r="K778" s="35"/>
      <c r="N778" s="35"/>
    </row>
    <row r="779">
      <c r="H779" s="35"/>
      <c r="I779" s="35"/>
      <c r="K779" s="35"/>
      <c r="N779" s="35"/>
    </row>
    <row r="780">
      <c r="H780" s="35"/>
      <c r="I780" s="35"/>
      <c r="K780" s="35"/>
      <c r="N780" s="35"/>
    </row>
    <row r="781">
      <c r="H781" s="35"/>
      <c r="I781" s="35"/>
      <c r="K781" s="35"/>
      <c r="N781" s="35"/>
    </row>
    <row r="782">
      <c r="H782" s="35"/>
      <c r="I782" s="35"/>
      <c r="K782" s="35"/>
      <c r="N782" s="35"/>
    </row>
    <row r="783">
      <c r="H783" s="35"/>
      <c r="I783" s="35"/>
      <c r="K783" s="35"/>
      <c r="N783" s="35"/>
    </row>
    <row r="784">
      <c r="H784" s="35"/>
      <c r="I784" s="35"/>
      <c r="K784" s="35"/>
      <c r="N784" s="35"/>
    </row>
    <row r="785">
      <c r="H785" s="35"/>
      <c r="I785" s="35"/>
      <c r="K785" s="35"/>
      <c r="N785" s="35"/>
    </row>
    <row r="786">
      <c r="H786" s="35"/>
      <c r="I786" s="35"/>
      <c r="K786" s="35"/>
      <c r="N786" s="35"/>
    </row>
    <row r="787">
      <c r="H787" s="35"/>
      <c r="I787" s="35"/>
      <c r="K787" s="35"/>
      <c r="N787" s="35"/>
    </row>
    <row r="788">
      <c r="H788" s="35"/>
      <c r="I788" s="35"/>
      <c r="K788" s="35"/>
      <c r="N788" s="35"/>
    </row>
    <row r="789">
      <c r="H789" s="35"/>
      <c r="I789" s="35"/>
      <c r="K789" s="35"/>
      <c r="N789" s="35"/>
    </row>
    <row r="790">
      <c r="H790" s="35"/>
      <c r="I790" s="35"/>
      <c r="K790" s="35"/>
      <c r="N790" s="35"/>
    </row>
    <row r="791">
      <c r="H791" s="35"/>
      <c r="I791" s="35"/>
      <c r="K791" s="35"/>
      <c r="N791" s="35"/>
    </row>
    <row r="792">
      <c r="H792" s="35"/>
      <c r="I792" s="35"/>
      <c r="K792" s="35"/>
      <c r="N792" s="35"/>
    </row>
    <row r="793">
      <c r="H793" s="35"/>
      <c r="I793" s="35"/>
      <c r="K793" s="35"/>
      <c r="N793" s="35"/>
    </row>
    <row r="794">
      <c r="H794" s="35"/>
      <c r="I794" s="35"/>
      <c r="K794" s="35"/>
      <c r="N794" s="35"/>
    </row>
    <row r="795">
      <c r="H795" s="35"/>
      <c r="I795" s="35"/>
      <c r="K795" s="35"/>
      <c r="N795" s="35"/>
    </row>
    <row r="796">
      <c r="H796" s="35"/>
      <c r="I796" s="35"/>
      <c r="K796" s="35"/>
      <c r="N796" s="35"/>
    </row>
    <row r="797">
      <c r="H797" s="35"/>
      <c r="I797" s="35"/>
      <c r="K797" s="35"/>
      <c r="N797" s="35"/>
    </row>
    <row r="798">
      <c r="H798" s="35"/>
      <c r="I798" s="35"/>
      <c r="K798" s="35"/>
      <c r="N798" s="35"/>
    </row>
    <row r="799">
      <c r="H799" s="35"/>
      <c r="I799" s="35"/>
      <c r="K799" s="35"/>
      <c r="N799" s="35"/>
    </row>
    <row r="800">
      <c r="H800" s="35"/>
      <c r="I800" s="35"/>
      <c r="K800" s="35"/>
      <c r="N800" s="35"/>
    </row>
    <row r="801">
      <c r="H801" s="35"/>
      <c r="I801" s="35"/>
      <c r="K801" s="35"/>
      <c r="N801" s="35"/>
    </row>
    <row r="802">
      <c r="H802" s="35"/>
      <c r="I802" s="35"/>
      <c r="K802" s="35"/>
      <c r="N802" s="35"/>
    </row>
    <row r="803">
      <c r="H803" s="35"/>
      <c r="I803" s="35"/>
      <c r="K803" s="35"/>
      <c r="N803" s="35"/>
    </row>
    <row r="804">
      <c r="H804" s="35"/>
      <c r="I804" s="35"/>
      <c r="K804" s="35"/>
      <c r="N804" s="35"/>
    </row>
    <row r="805">
      <c r="H805" s="35"/>
      <c r="I805" s="35"/>
      <c r="K805" s="35"/>
      <c r="N805" s="35"/>
    </row>
    <row r="806">
      <c r="H806" s="35"/>
      <c r="I806" s="35"/>
      <c r="K806" s="35"/>
      <c r="N806" s="35"/>
    </row>
    <row r="807">
      <c r="H807" s="35"/>
      <c r="I807" s="35"/>
      <c r="K807" s="35"/>
      <c r="N807" s="35"/>
    </row>
    <row r="808">
      <c r="H808" s="35"/>
      <c r="I808" s="35"/>
      <c r="K808" s="35"/>
      <c r="N808" s="35"/>
    </row>
    <row r="809">
      <c r="H809" s="35"/>
      <c r="I809" s="35"/>
      <c r="K809" s="35"/>
      <c r="N809" s="35"/>
    </row>
    <row r="810">
      <c r="H810" s="35"/>
      <c r="I810" s="35"/>
      <c r="K810" s="35"/>
      <c r="N810" s="35"/>
    </row>
    <row r="811">
      <c r="H811" s="35"/>
      <c r="I811" s="35"/>
      <c r="K811" s="35"/>
      <c r="N811" s="35"/>
    </row>
    <row r="812">
      <c r="H812" s="35"/>
      <c r="I812" s="35"/>
      <c r="K812" s="35"/>
      <c r="N812" s="35"/>
    </row>
    <row r="813">
      <c r="H813" s="35"/>
      <c r="I813" s="35"/>
      <c r="K813" s="35"/>
      <c r="N813" s="35"/>
    </row>
    <row r="814">
      <c r="H814" s="35"/>
      <c r="I814" s="35"/>
      <c r="K814" s="35"/>
      <c r="N814" s="35"/>
    </row>
    <row r="815">
      <c r="H815" s="35"/>
      <c r="I815" s="35"/>
      <c r="K815" s="35"/>
      <c r="N815" s="35"/>
    </row>
    <row r="816">
      <c r="H816" s="35"/>
      <c r="I816" s="35"/>
      <c r="K816" s="35"/>
      <c r="N816" s="35"/>
    </row>
    <row r="817">
      <c r="H817" s="35"/>
      <c r="I817" s="35"/>
      <c r="K817" s="35"/>
      <c r="N817" s="35"/>
    </row>
    <row r="818">
      <c r="H818" s="35"/>
      <c r="I818" s="35"/>
      <c r="K818" s="35"/>
      <c r="N818" s="35"/>
    </row>
    <row r="819">
      <c r="H819" s="35"/>
      <c r="I819" s="35"/>
      <c r="K819" s="35"/>
      <c r="N819" s="35"/>
    </row>
    <row r="820">
      <c r="H820" s="35"/>
      <c r="I820" s="35"/>
      <c r="K820" s="35"/>
      <c r="N820" s="35"/>
    </row>
    <row r="821">
      <c r="H821" s="35"/>
      <c r="I821" s="35"/>
      <c r="K821" s="35"/>
      <c r="N821" s="35"/>
    </row>
    <row r="822">
      <c r="H822" s="35"/>
      <c r="I822" s="35"/>
      <c r="K822" s="35"/>
      <c r="N822" s="35"/>
    </row>
    <row r="823">
      <c r="H823" s="35"/>
      <c r="I823" s="35"/>
      <c r="K823" s="35"/>
      <c r="N823" s="35"/>
    </row>
    <row r="824">
      <c r="H824" s="35"/>
      <c r="I824" s="35"/>
      <c r="K824" s="35"/>
      <c r="N824" s="35"/>
    </row>
    <row r="825">
      <c r="H825" s="35"/>
      <c r="I825" s="35"/>
      <c r="K825" s="35"/>
      <c r="N825" s="35"/>
    </row>
    <row r="826">
      <c r="H826" s="35"/>
      <c r="I826" s="35"/>
      <c r="K826" s="35"/>
      <c r="N826" s="35"/>
    </row>
    <row r="827">
      <c r="H827" s="35"/>
      <c r="I827" s="35"/>
      <c r="K827" s="35"/>
      <c r="N827" s="35"/>
    </row>
    <row r="828">
      <c r="H828" s="35"/>
      <c r="I828" s="35"/>
      <c r="K828" s="35"/>
      <c r="N828" s="35"/>
    </row>
    <row r="829">
      <c r="H829" s="35"/>
      <c r="I829" s="35"/>
      <c r="K829" s="35"/>
      <c r="N829" s="35"/>
    </row>
    <row r="830">
      <c r="H830" s="35"/>
      <c r="I830" s="35"/>
      <c r="K830" s="35"/>
      <c r="N830" s="35"/>
    </row>
    <row r="831">
      <c r="H831" s="35"/>
      <c r="I831" s="35"/>
      <c r="K831" s="35"/>
      <c r="N831" s="35"/>
    </row>
    <row r="832">
      <c r="H832" s="35"/>
      <c r="I832" s="35"/>
      <c r="K832" s="35"/>
      <c r="N832" s="35"/>
    </row>
    <row r="833">
      <c r="H833" s="35"/>
      <c r="I833" s="35"/>
      <c r="K833" s="35"/>
      <c r="N833" s="35"/>
    </row>
    <row r="834">
      <c r="H834" s="35"/>
      <c r="I834" s="35"/>
      <c r="K834" s="35"/>
      <c r="N834" s="35"/>
    </row>
    <row r="835">
      <c r="H835" s="35"/>
      <c r="I835" s="35"/>
      <c r="K835" s="35"/>
      <c r="N835" s="35"/>
    </row>
    <row r="836">
      <c r="H836" s="35"/>
      <c r="I836" s="35"/>
      <c r="K836" s="35"/>
      <c r="N836" s="35"/>
    </row>
    <row r="837">
      <c r="H837" s="35"/>
      <c r="I837" s="35"/>
      <c r="K837" s="35"/>
      <c r="N837" s="35"/>
    </row>
    <row r="838">
      <c r="H838" s="35"/>
      <c r="I838" s="35"/>
      <c r="K838" s="35"/>
      <c r="N838" s="35"/>
    </row>
    <row r="839">
      <c r="H839" s="35"/>
      <c r="I839" s="35"/>
      <c r="K839" s="35"/>
      <c r="N839" s="35"/>
    </row>
    <row r="840">
      <c r="H840" s="35"/>
      <c r="I840" s="35"/>
      <c r="K840" s="35"/>
      <c r="N840" s="35"/>
    </row>
    <row r="841">
      <c r="H841" s="35"/>
      <c r="I841" s="35"/>
      <c r="K841" s="35"/>
      <c r="N841" s="35"/>
    </row>
    <row r="842">
      <c r="H842" s="35"/>
      <c r="I842" s="35"/>
      <c r="K842" s="35"/>
      <c r="N842" s="35"/>
    </row>
    <row r="843">
      <c r="H843" s="35"/>
      <c r="I843" s="35"/>
      <c r="K843" s="35"/>
      <c r="N843" s="35"/>
    </row>
    <row r="844">
      <c r="H844" s="35"/>
      <c r="I844" s="35"/>
      <c r="K844" s="35"/>
      <c r="N844" s="35"/>
    </row>
    <row r="845">
      <c r="H845" s="35"/>
      <c r="I845" s="35"/>
      <c r="K845" s="35"/>
      <c r="N845" s="35"/>
    </row>
    <row r="846">
      <c r="H846" s="35"/>
      <c r="I846" s="35"/>
      <c r="K846" s="35"/>
      <c r="N846" s="35"/>
    </row>
    <row r="847">
      <c r="H847" s="35"/>
      <c r="I847" s="35"/>
      <c r="K847" s="35"/>
      <c r="N847" s="35"/>
    </row>
    <row r="848">
      <c r="H848" s="35"/>
      <c r="I848" s="35"/>
      <c r="K848" s="35"/>
      <c r="N848" s="35"/>
    </row>
    <row r="849">
      <c r="H849" s="35"/>
      <c r="I849" s="35"/>
      <c r="K849" s="35"/>
      <c r="N849" s="35"/>
    </row>
    <row r="850">
      <c r="H850" s="35"/>
      <c r="I850" s="35"/>
      <c r="K850" s="35"/>
      <c r="N850" s="35"/>
    </row>
    <row r="851">
      <c r="H851" s="35"/>
      <c r="I851" s="35"/>
      <c r="K851" s="35"/>
      <c r="N851" s="35"/>
    </row>
    <row r="852">
      <c r="H852" s="35"/>
      <c r="I852" s="35"/>
      <c r="K852" s="35"/>
      <c r="N852" s="35"/>
    </row>
    <row r="853">
      <c r="H853" s="35"/>
      <c r="I853" s="35"/>
      <c r="K853" s="35"/>
      <c r="N853" s="35"/>
    </row>
    <row r="854">
      <c r="H854" s="35"/>
      <c r="I854" s="35"/>
      <c r="K854" s="35"/>
      <c r="N854" s="35"/>
    </row>
    <row r="855">
      <c r="H855" s="35"/>
      <c r="I855" s="35"/>
      <c r="K855" s="35"/>
      <c r="N855" s="35"/>
    </row>
    <row r="856">
      <c r="H856" s="35"/>
      <c r="I856" s="35"/>
      <c r="K856" s="35"/>
      <c r="N856" s="35"/>
    </row>
    <row r="857">
      <c r="H857" s="35"/>
      <c r="I857" s="35"/>
      <c r="K857" s="35"/>
      <c r="N857" s="35"/>
    </row>
    <row r="858">
      <c r="H858" s="35"/>
      <c r="I858" s="35"/>
      <c r="K858" s="35"/>
      <c r="N858" s="35"/>
    </row>
    <row r="859">
      <c r="H859" s="35"/>
      <c r="I859" s="35"/>
      <c r="K859" s="35"/>
      <c r="N859" s="35"/>
    </row>
    <row r="860">
      <c r="H860" s="35"/>
      <c r="I860" s="35"/>
      <c r="K860" s="35"/>
      <c r="N860" s="35"/>
    </row>
    <row r="861">
      <c r="H861" s="35"/>
      <c r="I861" s="35"/>
      <c r="K861" s="35"/>
      <c r="N861" s="35"/>
    </row>
    <row r="862">
      <c r="H862" s="35"/>
      <c r="I862" s="35"/>
      <c r="K862" s="35"/>
      <c r="N862" s="35"/>
    </row>
    <row r="863">
      <c r="H863" s="35"/>
      <c r="I863" s="35"/>
      <c r="K863" s="35"/>
      <c r="N863" s="35"/>
    </row>
    <row r="864">
      <c r="H864" s="35"/>
      <c r="I864" s="35"/>
      <c r="K864" s="35"/>
      <c r="N864" s="35"/>
    </row>
    <row r="865">
      <c r="H865" s="35"/>
      <c r="I865" s="35"/>
      <c r="K865" s="35"/>
      <c r="N865" s="35"/>
    </row>
    <row r="866">
      <c r="H866" s="35"/>
      <c r="I866" s="35"/>
      <c r="K866" s="35"/>
      <c r="N866" s="35"/>
    </row>
    <row r="867">
      <c r="H867" s="35"/>
      <c r="I867" s="35"/>
      <c r="K867" s="35"/>
      <c r="N867" s="35"/>
    </row>
    <row r="868">
      <c r="H868" s="35"/>
      <c r="I868" s="35"/>
      <c r="K868" s="35"/>
      <c r="N868" s="35"/>
    </row>
    <row r="869">
      <c r="H869" s="35"/>
      <c r="I869" s="35"/>
      <c r="K869" s="35"/>
      <c r="N869" s="35"/>
    </row>
    <row r="870">
      <c r="H870" s="35"/>
      <c r="I870" s="35"/>
      <c r="K870" s="35"/>
      <c r="N870" s="35"/>
    </row>
    <row r="871">
      <c r="H871" s="35"/>
      <c r="I871" s="35"/>
      <c r="K871" s="35"/>
      <c r="N871" s="35"/>
    </row>
    <row r="872">
      <c r="H872" s="35"/>
      <c r="I872" s="35"/>
      <c r="K872" s="35"/>
      <c r="N872" s="35"/>
    </row>
    <row r="873">
      <c r="H873" s="35"/>
      <c r="I873" s="35"/>
      <c r="K873" s="35"/>
      <c r="N873" s="35"/>
    </row>
    <row r="874">
      <c r="H874" s="35"/>
      <c r="I874" s="35"/>
      <c r="K874" s="35"/>
      <c r="N874" s="35"/>
    </row>
    <row r="875">
      <c r="H875" s="35"/>
      <c r="I875" s="35"/>
      <c r="K875" s="35"/>
      <c r="N875" s="35"/>
    </row>
    <row r="876">
      <c r="H876" s="35"/>
      <c r="I876" s="35"/>
      <c r="K876" s="35"/>
      <c r="N876" s="35"/>
    </row>
    <row r="877">
      <c r="H877" s="35"/>
      <c r="I877" s="35"/>
      <c r="K877" s="35"/>
      <c r="N877" s="35"/>
    </row>
    <row r="878">
      <c r="H878" s="35"/>
      <c r="I878" s="35"/>
      <c r="K878" s="35"/>
      <c r="N878" s="35"/>
    </row>
    <row r="879">
      <c r="H879" s="35"/>
      <c r="I879" s="35"/>
      <c r="K879" s="35"/>
      <c r="N879" s="35"/>
    </row>
    <row r="880">
      <c r="H880" s="35"/>
      <c r="I880" s="35"/>
      <c r="K880" s="35"/>
      <c r="N880" s="35"/>
    </row>
    <row r="881">
      <c r="H881" s="35"/>
      <c r="I881" s="35"/>
      <c r="K881" s="35"/>
      <c r="N881" s="35"/>
    </row>
    <row r="882">
      <c r="H882" s="35"/>
      <c r="I882" s="35"/>
      <c r="K882" s="35"/>
      <c r="N882" s="35"/>
    </row>
    <row r="883">
      <c r="H883" s="35"/>
      <c r="I883" s="35"/>
      <c r="K883" s="35"/>
      <c r="N883" s="35"/>
    </row>
    <row r="884">
      <c r="H884" s="35"/>
      <c r="I884" s="35"/>
      <c r="K884" s="35"/>
      <c r="N884" s="35"/>
    </row>
    <row r="885">
      <c r="H885" s="35"/>
      <c r="I885" s="35"/>
      <c r="K885" s="35"/>
      <c r="N885" s="35"/>
    </row>
    <row r="886">
      <c r="H886" s="35"/>
      <c r="I886" s="35"/>
      <c r="K886" s="35"/>
      <c r="N886" s="35"/>
    </row>
    <row r="887">
      <c r="H887" s="35"/>
      <c r="I887" s="35"/>
      <c r="K887" s="35"/>
      <c r="N887" s="35"/>
    </row>
    <row r="888">
      <c r="H888" s="35"/>
      <c r="I888" s="35"/>
      <c r="K888" s="35"/>
      <c r="N888" s="35"/>
    </row>
    <row r="889">
      <c r="H889" s="35"/>
      <c r="I889" s="35"/>
      <c r="K889" s="35"/>
      <c r="N889" s="35"/>
    </row>
    <row r="890">
      <c r="H890" s="35"/>
      <c r="I890" s="35"/>
      <c r="K890" s="35"/>
      <c r="N890" s="35"/>
    </row>
    <row r="891">
      <c r="H891" s="35"/>
      <c r="I891" s="35"/>
      <c r="K891" s="35"/>
      <c r="N891" s="35"/>
    </row>
    <row r="892">
      <c r="H892" s="35"/>
      <c r="I892" s="35"/>
      <c r="K892" s="35"/>
      <c r="N892" s="35"/>
    </row>
    <row r="893">
      <c r="H893" s="35"/>
      <c r="I893" s="35"/>
      <c r="K893" s="35"/>
      <c r="N893" s="35"/>
    </row>
    <row r="894">
      <c r="H894" s="35"/>
      <c r="I894" s="35"/>
      <c r="K894" s="35"/>
      <c r="N894" s="35"/>
    </row>
    <row r="895">
      <c r="H895" s="35"/>
      <c r="I895" s="35"/>
      <c r="K895" s="35"/>
      <c r="N895" s="35"/>
    </row>
    <row r="896">
      <c r="H896" s="35"/>
      <c r="I896" s="35"/>
      <c r="K896" s="35"/>
      <c r="N896" s="35"/>
    </row>
    <row r="897">
      <c r="H897" s="35"/>
      <c r="I897" s="35"/>
      <c r="K897" s="35"/>
      <c r="N897" s="35"/>
    </row>
    <row r="898">
      <c r="H898" s="35"/>
      <c r="I898" s="35"/>
      <c r="K898" s="35"/>
      <c r="N898" s="35"/>
    </row>
    <row r="899">
      <c r="H899" s="35"/>
      <c r="I899" s="35"/>
      <c r="K899" s="35"/>
      <c r="N899" s="35"/>
    </row>
    <row r="900">
      <c r="H900" s="35"/>
      <c r="I900" s="35"/>
      <c r="K900" s="35"/>
      <c r="N900" s="35"/>
    </row>
    <row r="901">
      <c r="H901" s="35"/>
      <c r="I901" s="35"/>
      <c r="K901" s="35"/>
      <c r="N901" s="35"/>
    </row>
    <row r="902">
      <c r="H902" s="35"/>
      <c r="I902" s="35"/>
      <c r="K902" s="35"/>
      <c r="N902" s="35"/>
    </row>
    <row r="903">
      <c r="H903" s="35"/>
      <c r="I903" s="35"/>
      <c r="K903" s="35"/>
      <c r="N903" s="35"/>
    </row>
    <row r="904">
      <c r="H904" s="35"/>
      <c r="I904" s="35"/>
      <c r="K904" s="35"/>
      <c r="N904" s="35"/>
    </row>
    <row r="905">
      <c r="H905" s="35"/>
      <c r="I905" s="35"/>
      <c r="K905" s="35"/>
      <c r="N905" s="35"/>
    </row>
    <row r="906">
      <c r="H906" s="35"/>
      <c r="I906" s="35"/>
      <c r="K906" s="35"/>
      <c r="N906" s="35"/>
    </row>
    <row r="907">
      <c r="H907" s="35"/>
      <c r="I907" s="35"/>
      <c r="K907" s="35"/>
      <c r="N907" s="35"/>
    </row>
    <row r="908">
      <c r="H908" s="35"/>
      <c r="I908" s="35"/>
      <c r="K908" s="35"/>
      <c r="N908" s="35"/>
    </row>
    <row r="909">
      <c r="H909" s="35"/>
      <c r="I909" s="35"/>
      <c r="K909" s="35"/>
      <c r="N909" s="35"/>
    </row>
    <row r="910">
      <c r="H910" s="35"/>
      <c r="I910" s="35"/>
      <c r="K910" s="35"/>
      <c r="N910" s="35"/>
    </row>
    <row r="911">
      <c r="H911" s="35"/>
      <c r="I911" s="35"/>
      <c r="K911" s="35"/>
      <c r="N911" s="35"/>
    </row>
    <row r="912">
      <c r="H912" s="35"/>
      <c r="I912" s="35"/>
      <c r="K912" s="35"/>
      <c r="N912" s="35"/>
    </row>
    <row r="913">
      <c r="H913" s="35"/>
      <c r="I913" s="35"/>
      <c r="K913" s="35"/>
      <c r="N913" s="35"/>
    </row>
    <row r="914">
      <c r="H914" s="35"/>
      <c r="I914" s="35"/>
      <c r="K914" s="35"/>
      <c r="N914" s="35"/>
    </row>
    <row r="915">
      <c r="H915" s="35"/>
      <c r="I915" s="35"/>
      <c r="K915" s="35"/>
      <c r="N915" s="35"/>
    </row>
    <row r="916">
      <c r="H916" s="35"/>
      <c r="I916" s="35"/>
      <c r="K916" s="35"/>
      <c r="N916" s="35"/>
    </row>
    <row r="917">
      <c r="H917" s="35"/>
      <c r="I917" s="35"/>
      <c r="K917" s="35"/>
      <c r="N917" s="35"/>
    </row>
    <row r="918">
      <c r="H918" s="35"/>
      <c r="I918" s="35"/>
      <c r="K918" s="35"/>
      <c r="N918" s="35"/>
    </row>
    <row r="919">
      <c r="H919" s="35"/>
      <c r="I919" s="35"/>
      <c r="K919" s="35"/>
      <c r="N919" s="35"/>
    </row>
    <row r="920">
      <c r="H920" s="35"/>
      <c r="I920" s="35"/>
      <c r="K920" s="35"/>
      <c r="N920" s="35"/>
    </row>
    <row r="921">
      <c r="H921" s="35"/>
      <c r="I921" s="35"/>
      <c r="K921" s="35"/>
      <c r="N921" s="35"/>
    </row>
    <row r="922">
      <c r="H922" s="35"/>
      <c r="I922" s="35"/>
      <c r="K922" s="35"/>
      <c r="N922" s="35"/>
    </row>
    <row r="923">
      <c r="H923" s="35"/>
      <c r="I923" s="35"/>
      <c r="K923" s="35"/>
      <c r="N923" s="35"/>
    </row>
    <row r="924">
      <c r="H924" s="35"/>
      <c r="I924" s="35"/>
      <c r="K924" s="35"/>
      <c r="N924" s="35"/>
    </row>
    <row r="925">
      <c r="H925" s="35"/>
      <c r="I925" s="35"/>
      <c r="K925" s="35"/>
      <c r="N925" s="35"/>
    </row>
    <row r="926">
      <c r="H926" s="35"/>
      <c r="I926" s="35"/>
      <c r="K926" s="35"/>
      <c r="N926" s="35"/>
    </row>
    <row r="927">
      <c r="H927" s="35"/>
      <c r="I927" s="35"/>
      <c r="K927" s="35"/>
      <c r="N927" s="35"/>
    </row>
    <row r="928">
      <c r="H928" s="35"/>
      <c r="I928" s="35"/>
      <c r="K928" s="35"/>
      <c r="N928" s="35"/>
    </row>
    <row r="929">
      <c r="H929" s="35"/>
      <c r="I929" s="35"/>
      <c r="K929" s="35"/>
      <c r="N929" s="35"/>
    </row>
    <row r="930">
      <c r="H930" s="35"/>
      <c r="I930" s="35"/>
      <c r="K930" s="35"/>
      <c r="N930" s="35"/>
    </row>
    <row r="931">
      <c r="H931" s="35"/>
      <c r="I931" s="35"/>
      <c r="K931" s="35"/>
      <c r="N931" s="35"/>
    </row>
    <row r="932">
      <c r="H932" s="35"/>
      <c r="I932" s="35"/>
      <c r="K932" s="35"/>
      <c r="N932" s="35"/>
    </row>
    <row r="933">
      <c r="H933" s="35"/>
      <c r="I933" s="35"/>
      <c r="K933" s="35"/>
      <c r="N933" s="35"/>
    </row>
    <row r="934">
      <c r="H934" s="35"/>
      <c r="I934" s="35"/>
      <c r="K934" s="35"/>
      <c r="N934" s="35"/>
    </row>
    <row r="935">
      <c r="H935" s="35"/>
      <c r="I935" s="35"/>
      <c r="K935" s="35"/>
      <c r="N935" s="35"/>
    </row>
    <row r="936">
      <c r="H936" s="35"/>
      <c r="I936" s="35"/>
      <c r="K936" s="35"/>
      <c r="N936" s="35"/>
    </row>
    <row r="937">
      <c r="H937" s="35"/>
      <c r="I937" s="35"/>
      <c r="K937" s="35"/>
      <c r="N937" s="35"/>
    </row>
    <row r="938">
      <c r="H938" s="35"/>
      <c r="I938" s="35"/>
      <c r="K938" s="35"/>
      <c r="N938" s="35"/>
    </row>
    <row r="939">
      <c r="H939" s="35"/>
      <c r="I939" s="35"/>
      <c r="K939" s="35"/>
      <c r="N939" s="35"/>
    </row>
    <row r="940">
      <c r="H940" s="35"/>
      <c r="I940" s="35"/>
      <c r="K940" s="35"/>
      <c r="N940" s="35"/>
    </row>
    <row r="941">
      <c r="H941" s="35"/>
      <c r="I941" s="35"/>
      <c r="K941" s="35"/>
      <c r="N941" s="35"/>
    </row>
    <row r="942">
      <c r="H942" s="35"/>
      <c r="I942" s="35"/>
      <c r="K942" s="35"/>
      <c r="N942" s="35"/>
    </row>
    <row r="943">
      <c r="H943" s="35"/>
      <c r="I943" s="35"/>
      <c r="K943" s="35"/>
      <c r="N943" s="35"/>
    </row>
    <row r="944">
      <c r="H944" s="35"/>
      <c r="I944" s="35"/>
      <c r="K944" s="35"/>
      <c r="N944" s="35"/>
    </row>
    <row r="945">
      <c r="H945" s="35"/>
      <c r="I945" s="35"/>
      <c r="K945" s="35"/>
      <c r="N945" s="35"/>
    </row>
    <row r="946">
      <c r="H946" s="35"/>
      <c r="I946" s="35"/>
      <c r="K946" s="35"/>
      <c r="N946" s="35"/>
    </row>
    <row r="947">
      <c r="H947" s="35"/>
      <c r="I947" s="35"/>
      <c r="K947" s="35"/>
      <c r="N947" s="35"/>
    </row>
    <row r="948">
      <c r="H948" s="35"/>
      <c r="I948" s="35"/>
      <c r="K948" s="35"/>
      <c r="N948" s="35"/>
    </row>
    <row r="949">
      <c r="H949" s="35"/>
      <c r="I949" s="35"/>
      <c r="K949" s="35"/>
      <c r="N949" s="35"/>
    </row>
    <row r="950">
      <c r="H950" s="35"/>
      <c r="I950" s="35"/>
      <c r="K950" s="35"/>
      <c r="N950" s="35"/>
    </row>
    <row r="951">
      <c r="H951" s="35"/>
      <c r="I951" s="35"/>
      <c r="K951" s="35"/>
      <c r="N951" s="35"/>
    </row>
    <row r="952">
      <c r="H952" s="35"/>
      <c r="I952" s="35"/>
      <c r="K952" s="35"/>
      <c r="N952" s="35"/>
    </row>
    <row r="953">
      <c r="H953" s="35"/>
      <c r="I953" s="35"/>
      <c r="K953" s="35"/>
      <c r="N953" s="35"/>
    </row>
    <row r="954">
      <c r="H954" s="35"/>
      <c r="I954" s="35"/>
      <c r="K954" s="35"/>
      <c r="N954" s="35"/>
    </row>
    <row r="955">
      <c r="H955" s="35"/>
      <c r="I955" s="35"/>
      <c r="K955" s="35"/>
      <c r="N955" s="35"/>
    </row>
    <row r="956">
      <c r="H956" s="35"/>
      <c r="I956" s="35"/>
      <c r="K956" s="35"/>
      <c r="N956" s="35"/>
    </row>
    <row r="957">
      <c r="H957" s="35"/>
      <c r="I957" s="35"/>
      <c r="K957" s="35"/>
      <c r="N957" s="35"/>
    </row>
    <row r="958">
      <c r="H958" s="35"/>
      <c r="I958" s="35"/>
      <c r="K958" s="35"/>
      <c r="N958" s="35"/>
    </row>
    <row r="959">
      <c r="H959" s="35"/>
      <c r="I959" s="35"/>
      <c r="K959" s="35"/>
      <c r="N959" s="35"/>
    </row>
    <row r="960">
      <c r="H960" s="35"/>
      <c r="I960" s="35"/>
      <c r="K960" s="35"/>
      <c r="N960" s="35"/>
    </row>
    <row r="961">
      <c r="H961" s="35"/>
      <c r="I961" s="35"/>
      <c r="K961" s="35"/>
      <c r="N961" s="35"/>
    </row>
    <row r="962">
      <c r="H962" s="35"/>
      <c r="I962" s="35"/>
      <c r="K962" s="35"/>
      <c r="N962" s="35"/>
    </row>
    <row r="963">
      <c r="H963" s="35"/>
      <c r="I963" s="35"/>
      <c r="K963" s="35"/>
      <c r="N963" s="35"/>
    </row>
    <row r="964">
      <c r="H964" s="35"/>
      <c r="I964" s="35"/>
      <c r="K964" s="35"/>
      <c r="N964" s="35"/>
    </row>
    <row r="965">
      <c r="H965" s="35"/>
      <c r="I965" s="35"/>
      <c r="K965" s="35"/>
      <c r="N965" s="35"/>
    </row>
    <row r="966">
      <c r="H966" s="35"/>
      <c r="I966" s="35"/>
      <c r="K966" s="35"/>
      <c r="N966" s="35"/>
    </row>
    <row r="967">
      <c r="H967" s="35"/>
      <c r="I967" s="35"/>
      <c r="K967" s="35"/>
      <c r="N967" s="35"/>
    </row>
    <row r="968">
      <c r="H968" s="35"/>
      <c r="I968" s="35"/>
      <c r="K968" s="35"/>
      <c r="N968" s="35"/>
    </row>
    <row r="969">
      <c r="H969" s="35"/>
      <c r="I969" s="35"/>
      <c r="K969" s="35"/>
      <c r="N969" s="35"/>
    </row>
    <row r="970">
      <c r="H970" s="35"/>
      <c r="I970" s="35"/>
      <c r="K970" s="35"/>
      <c r="N970" s="35"/>
    </row>
    <row r="971">
      <c r="H971" s="35"/>
      <c r="I971" s="35"/>
      <c r="K971" s="35"/>
      <c r="N971" s="35"/>
    </row>
    <row r="972">
      <c r="H972" s="35"/>
      <c r="I972" s="35"/>
      <c r="K972" s="35"/>
      <c r="N972" s="35"/>
    </row>
    <row r="973">
      <c r="H973" s="35"/>
      <c r="I973" s="35"/>
      <c r="K973" s="35"/>
      <c r="N973" s="35"/>
    </row>
    <row r="974">
      <c r="H974" s="35"/>
      <c r="I974" s="35"/>
      <c r="K974" s="35"/>
      <c r="N974" s="35"/>
    </row>
    <row r="975">
      <c r="H975" s="35"/>
      <c r="I975" s="35"/>
      <c r="K975" s="35"/>
      <c r="N975" s="35"/>
    </row>
    <row r="976">
      <c r="H976" s="35"/>
      <c r="I976" s="35"/>
      <c r="K976" s="35"/>
      <c r="N976" s="35"/>
    </row>
    <row r="977">
      <c r="H977" s="35"/>
      <c r="I977" s="35"/>
      <c r="K977" s="35"/>
      <c r="N977" s="35"/>
    </row>
    <row r="978">
      <c r="H978" s="35"/>
      <c r="I978" s="35"/>
      <c r="K978" s="35"/>
      <c r="N978" s="35"/>
    </row>
    <row r="979">
      <c r="H979" s="35"/>
      <c r="I979" s="35"/>
      <c r="K979" s="35"/>
      <c r="N979" s="35"/>
    </row>
    <row r="980">
      <c r="H980" s="35"/>
      <c r="I980" s="35"/>
      <c r="K980" s="35"/>
      <c r="N980" s="35"/>
    </row>
  </sheetData>
  <dataValidations>
    <dataValidation type="list" allowBlank="1" sqref="N2:N274">
      <formula1>"EXCLUIR,BAIXA,ALTÍSSIMA,ALTA,MÉDIA"</formula1>
    </dataValidation>
    <dataValidation type="list" allowBlank="1" sqref="I2:I274">
      <formula1>"Regional,Microescala"</formula1>
    </dataValidation>
    <dataValidation type="list" allowBlank="1" sqref="L2:L274">
      <formula1>"Não,Sim"</formula1>
    </dataValidation>
    <dataValidation type="list" allowBlank="1" sqref="H2:H274">
      <formula1>"Enchente,Multirriscos,Terremoto,Tsunami,Incêndio,Furacão,Deslizamento,I. Químico,I. Nuclear,Ataque,Guerra,Não Relevante,Pandemia,Vulcão,Tornado"</formula1>
    </dataValidation>
    <dataValidation type="list" allowBlank="1" sqref="J2:J274">
      <formula1>"Sim,Não,Parcial"</formula1>
    </dataValidation>
    <dataValidation type="list" allowBlank="1" sqref="K2:K274">
      <formula1>"Python,NetLogo,GAMA,Unity,MATLAB,Outro,Não informado,Mesa"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5"/>
    <col customWidth="1" min="5" max="5" width="14.25"/>
    <col customWidth="1" min="8" max="8" width="18.38"/>
    <col customWidth="1" min="9" max="9" width="14.88"/>
    <col customWidth="1" min="10" max="10" width="16.0"/>
    <col customWidth="1" min="11" max="11" width="16.25"/>
    <col customWidth="1" min="15" max="15" width="24.13"/>
    <col customWidth="1" min="16" max="16" width="29.13"/>
  </cols>
  <sheetData>
    <row r="1" ht="22.5" customHeight="1">
      <c r="A1" s="2" t="s">
        <v>1</v>
      </c>
      <c r="B1" s="2" t="s">
        <v>4</v>
      </c>
      <c r="C1" s="2" t="s">
        <v>6</v>
      </c>
      <c r="D1" s="2" t="s">
        <v>7</v>
      </c>
      <c r="E1" s="2" t="s">
        <v>9</v>
      </c>
      <c r="F1" s="2" t="s">
        <v>11</v>
      </c>
      <c r="G1" s="5" t="s">
        <v>0</v>
      </c>
      <c r="H1" s="5" t="s">
        <v>14</v>
      </c>
      <c r="I1" s="5" t="s">
        <v>16</v>
      </c>
      <c r="J1" s="5" t="s">
        <v>18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26</v>
      </c>
      <c r="Q1" s="5" t="s">
        <v>28</v>
      </c>
    </row>
    <row r="2" ht="22.5" customHeight="1">
      <c r="A2" s="4" t="s">
        <v>30</v>
      </c>
      <c r="B2" s="4">
        <v>2026.0</v>
      </c>
      <c r="C2" s="4" t="s">
        <v>33</v>
      </c>
      <c r="D2" s="4" t="s">
        <v>35</v>
      </c>
      <c r="E2" s="4" t="s">
        <v>37</v>
      </c>
      <c r="F2" s="6" t="str">
        <f>IFERROR(VLOOKUP(G2, 'Padronização'!A:C, 3, FALSE), "")</f>
        <v>ABM/MAS focado em comportamento humano cognitivo</v>
      </c>
      <c r="G2" s="7" t="s">
        <v>47</v>
      </c>
      <c r="H2" s="8" t="s">
        <v>49</v>
      </c>
      <c r="I2" s="9" t="s">
        <v>51</v>
      </c>
      <c r="J2" s="9" t="s">
        <v>53</v>
      </c>
      <c r="K2" s="9" t="s">
        <v>55</v>
      </c>
      <c r="L2" s="9" t="s">
        <v>53</v>
      </c>
      <c r="M2" s="11">
        <f t="shared" ref="M2:M21" si="1">IF(H2="","", 
IF(OR(H2="tornado",H2="vulcão",H2="enchente",H2="terremoto",H2="tsunami",H2="incêndio",H2="furacão",H2="deslizamento",H2="i. químico",H2="i. nuclear",H2="ataque",H2="guerra",H2="multirriscos"),2,0)+
IF(OR(I2="cidade",I2="regional",I2="urbano"),2,0)+
IF(J2="sim",2,IF(J2="parcial",1,0))+
IF(OR(K2="NetLogo",K2="Mesa",K2="GAMA",K2="Unity",K2="MATLAB",K2="Python"),2,0)+
IF(L2="sim",1,-10)
)</f>
        <v>9</v>
      </c>
      <c r="N2" s="12" t="str">
        <f t="shared" ref="N2:N21" si="2">IF(M2="","",IF(M2&lt;=0,"EXCLUIR",
IF(M2&gt;=8,"ALTÍSSIMA",
IF(M2&gt;=6,"ALTA",
IF(M2&gt;=4,"MÉDIA",
"BAIXA")))))
</f>
        <v>ALTÍSSIMA</v>
      </c>
      <c r="O2" s="14" t="s">
        <v>53</v>
      </c>
      <c r="P2" s="4" t="s">
        <v>60</v>
      </c>
      <c r="Q2" s="4" t="s">
        <v>61</v>
      </c>
    </row>
    <row r="3" ht="22.5" customHeight="1">
      <c r="A3" s="4" t="s">
        <v>30</v>
      </c>
      <c r="B3" s="4">
        <v>2026.0</v>
      </c>
      <c r="C3" s="4" t="s">
        <v>33</v>
      </c>
      <c r="D3" s="4" t="s">
        <v>64</v>
      </c>
      <c r="E3" s="4" t="s">
        <v>37</v>
      </c>
      <c r="F3" s="6" t="str">
        <f>IFERROR(VLOOKUP(G3, 'Padronização'!A:C, 3, FALSE), "")</f>
        <v>ABM/MAS focado em comportamento humano cognitivo</v>
      </c>
      <c r="G3" s="7" t="s">
        <v>47</v>
      </c>
      <c r="H3" s="8" t="s">
        <v>49</v>
      </c>
      <c r="I3" s="9" t="s">
        <v>51</v>
      </c>
      <c r="J3" s="9" t="s">
        <v>53</v>
      </c>
      <c r="K3" s="9" t="s">
        <v>68</v>
      </c>
      <c r="L3" s="9" t="s">
        <v>53</v>
      </c>
      <c r="M3" s="11">
        <f t="shared" si="1"/>
        <v>9</v>
      </c>
      <c r="N3" s="12" t="str">
        <f t="shared" si="2"/>
        <v>ALTÍSSIMA</v>
      </c>
      <c r="O3" s="14" t="s">
        <v>61</v>
      </c>
      <c r="P3" s="4" t="s">
        <v>70</v>
      </c>
      <c r="Q3" s="4" t="s">
        <v>61</v>
      </c>
    </row>
    <row r="4" ht="22.5" customHeight="1">
      <c r="A4" s="4" t="s">
        <v>30</v>
      </c>
      <c r="B4" s="4">
        <v>2025.0</v>
      </c>
      <c r="C4" s="4" t="s">
        <v>33</v>
      </c>
      <c r="D4" s="4" t="s">
        <v>72</v>
      </c>
      <c r="E4" s="4" t="s">
        <v>37</v>
      </c>
      <c r="F4" s="6" t="str">
        <f>IFERROR(VLOOKUP(G4, 'Padronização'!A:C, 3, FALSE), "")</f>
        <v>ABM/MAS focado em comportamento humano cognitivo</v>
      </c>
      <c r="G4" s="7" t="s">
        <v>47</v>
      </c>
      <c r="H4" s="8" t="s">
        <v>49</v>
      </c>
      <c r="I4" s="9" t="s">
        <v>51</v>
      </c>
      <c r="J4" s="9" t="s">
        <v>53</v>
      </c>
      <c r="K4" s="9" t="s">
        <v>68</v>
      </c>
      <c r="L4" s="9" t="s">
        <v>53</v>
      </c>
      <c r="M4" s="11">
        <f t="shared" si="1"/>
        <v>9</v>
      </c>
      <c r="N4" s="12" t="str">
        <f t="shared" si="2"/>
        <v>ALTÍSSIMA</v>
      </c>
      <c r="O4" s="14" t="s">
        <v>61</v>
      </c>
      <c r="P4" s="4" t="s">
        <v>73</v>
      </c>
      <c r="Q4" s="4" t="s">
        <v>61</v>
      </c>
    </row>
    <row r="5" ht="22.5" customHeight="1">
      <c r="A5" s="4" t="s">
        <v>30</v>
      </c>
      <c r="B5" s="4">
        <v>2025.0</v>
      </c>
      <c r="C5" s="4" t="s">
        <v>33</v>
      </c>
      <c r="D5" s="4" t="s">
        <v>75</v>
      </c>
      <c r="E5" s="4" t="s">
        <v>37</v>
      </c>
      <c r="F5" s="6" t="str">
        <f>IFERROR(VLOOKUP(G5, 'Padronização'!A:C, 3, FALSE), "")</f>
        <v>ABM/MAS focado em comportamento humano cognitivo</v>
      </c>
      <c r="G5" s="7" t="s">
        <v>47</v>
      </c>
      <c r="H5" s="8" t="s">
        <v>49</v>
      </c>
      <c r="I5" s="9" t="s">
        <v>51</v>
      </c>
      <c r="J5" s="9" t="s">
        <v>53</v>
      </c>
      <c r="K5" s="9" t="s">
        <v>68</v>
      </c>
      <c r="L5" s="9" t="s">
        <v>53</v>
      </c>
      <c r="M5" s="11">
        <f t="shared" si="1"/>
        <v>9</v>
      </c>
      <c r="N5" s="12" t="str">
        <f t="shared" si="2"/>
        <v>ALTÍSSIMA</v>
      </c>
      <c r="O5" s="14" t="s">
        <v>61</v>
      </c>
      <c r="P5" s="4" t="s">
        <v>77</v>
      </c>
      <c r="Q5" s="4" t="s">
        <v>61</v>
      </c>
    </row>
    <row r="6" ht="22.5" customHeight="1">
      <c r="A6" s="4" t="s">
        <v>30</v>
      </c>
      <c r="B6" s="4">
        <v>2025.0</v>
      </c>
      <c r="C6" s="4" t="s">
        <v>33</v>
      </c>
      <c r="D6" s="4" t="s">
        <v>80</v>
      </c>
      <c r="E6" s="4" t="s">
        <v>37</v>
      </c>
      <c r="F6" s="6" t="str">
        <f>IFERROR(VLOOKUP(G6, 'Padronização'!A:C, 3, FALSE), "")</f>
        <v>ABM/MAS aplicado à evacuação</v>
      </c>
      <c r="G6" s="7" t="s">
        <v>45</v>
      </c>
      <c r="H6" s="8" t="s">
        <v>49</v>
      </c>
      <c r="I6" s="9" t="s">
        <v>51</v>
      </c>
      <c r="J6" s="9" t="s">
        <v>53</v>
      </c>
      <c r="K6" s="9" t="s">
        <v>82</v>
      </c>
      <c r="L6" s="9" t="s">
        <v>53</v>
      </c>
      <c r="M6" s="11">
        <f t="shared" si="1"/>
        <v>9</v>
      </c>
      <c r="N6" s="12" t="str">
        <f t="shared" si="2"/>
        <v>ALTÍSSIMA</v>
      </c>
      <c r="O6" s="14" t="s">
        <v>53</v>
      </c>
      <c r="P6" s="11"/>
      <c r="Q6" s="4" t="s">
        <v>53</v>
      </c>
    </row>
    <row r="7" ht="22.5" customHeight="1">
      <c r="A7" s="4" t="s">
        <v>30</v>
      </c>
      <c r="B7" s="4">
        <v>2025.0</v>
      </c>
      <c r="C7" s="4" t="s">
        <v>33</v>
      </c>
      <c r="D7" s="4" t="s">
        <v>86</v>
      </c>
      <c r="E7" s="4" t="s">
        <v>37</v>
      </c>
      <c r="F7" s="6" t="str">
        <f>IFERROR(VLOOKUP(G7, 'Padronização'!A:C, 3, FALSE), "")</f>
        <v>Resposta humana a alertas e decisões</v>
      </c>
      <c r="G7" s="7" t="s">
        <v>50</v>
      </c>
      <c r="H7" s="8" t="s">
        <v>49</v>
      </c>
      <c r="I7" s="9" t="s">
        <v>51</v>
      </c>
      <c r="J7" s="9" t="s">
        <v>53</v>
      </c>
      <c r="K7" s="9" t="s">
        <v>55</v>
      </c>
      <c r="L7" s="9" t="s">
        <v>53</v>
      </c>
      <c r="M7" s="11">
        <f t="shared" si="1"/>
        <v>9</v>
      </c>
      <c r="N7" s="12" t="str">
        <f t="shared" si="2"/>
        <v>ALTÍSSIMA</v>
      </c>
      <c r="O7" s="14" t="s">
        <v>61</v>
      </c>
      <c r="P7" s="4" t="s">
        <v>90</v>
      </c>
      <c r="Q7" s="4" t="s">
        <v>61</v>
      </c>
    </row>
    <row r="8" ht="22.5" customHeight="1">
      <c r="A8" s="4" t="s">
        <v>30</v>
      </c>
      <c r="B8" s="4">
        <v>2025.0</v>
      </c>
      <c r="C8" s="4" t="s">
        <v>33</v>
      </c>
      <c r="D8" s="4" t="s">
        <v>92</v>
      </c>
      <c r="E8" s="4" t="s">
        <v>37</v>
      </c>
      <c r="F8" s="6" t="str">
        <f>IFERROR(VLOOKUP(G8, 'Padronização'!A:C, 3, FALSE), "")</f>
        <v>ABM/MAS focado em comportamento humano cognitivo</v>
      </c>
      <c r="G8" s="7" t="s">
        <v>47</v>
      </c>
      <c r="H8" s="8" t="s">
        <v>49</v>
      </c>
      <c r="I8" s="9" t="s">
        <v>51</v>
      </c>
      <c r="J8" s="9" t="s">
        <v>53</v>
      </c>
      <c r="K8" s="9" t="s">
        <v>94</v>
      </c>
      <c r="L8" s="9" t="s">
        <v>53</v>
      </c>
      <c r="M8" s="11">
        <f t="shared" si="1"/>
        <v>7</v>
      </c>
      <c r="N8" s="12" t="str">
        <f t="shared" si="2"/>
        <v>ALTA</v>
      </c>
      <c r="O8" s="14" t="s">
        <v>61</v>
      </c>
      <c r="P8" s="4" t="s">
        <v>95</v>
      </c>
      <c r="Q8" s="4" t="s">
        <v>61</v>
      </c>
    </row>
    <row r="9" ht="22.5" customHeight="1">
      <c r="A9" s="4" t="s">
        <v>30</v>
      </c>
      <c r="B9" s="4">
        <v>2025.0</v>
      </c>
      <c r="C9" s="4" t="s">
        <v>33</v>
      </c>
      <c r="D9" s="4" t="s">
        <v>97</v>
      </c>
      <c r="E9" s="4" t="s">
        <v>37</v>
      </c>
      <c r="F9" s="6" t="str">
        <f>IFERROR(VLOOKUP(G9, 'Padronização'!A:C, 3, FALSE), "")</f>
        <v>ABM/MAS aplicado à evacuação</v>
      </c>
      <c r="G9" s="7" t="s">
        <v>45</v>
      </c>
      <c r="H9" s="8" t="s">
        <v>49</v>
      </c>
      <c r="I9" s="9" t="s">
        <v>51</v>
      </c>
      <c r="J9" s="9" t="s">
        <v>53</v>
      </c>
      <c r="K9" s="9" t="s">
        <v>68</v>
      </c>
      <c r="L9" s="9" t="s">
        <v>53</v>
      </c>
      <c r="M9" s="11">
        <f t="shared" si="1"/>
        <v>9</v>
      </c>
      <c r="N9" s="12" t="str">
        <f t="shared" si="2"/>
        <v>ALTÍSSIMA</v>
      </c>
      <c r="O9" s="14" t="s">
        <v>53</v>
      </c>
      <c r="P9" s="11"/>
      <c r="Q9" s="4" t="s">
        <v>53</v>
      </c>
    </row>
    <row r="10" ht="22.5" customHeight="1">
      <c r="A10" s="4" t="s">
        <v>30</v>
      </c>
      <c r="B10" s="4">
        <v>2025.0</v>
      </c>
      <c r="C10" s="4" t="s">
        <v>33</v>
      </c>
      <c r="D10" s="4" t="s">
        <v>102</v>
      </c>
      <c r="E10" s="4" t="s">
        <v>37</v>
      </c>
      <c r="F10" s="6" t="str">
        <f>IFERROR(VLOOKUP(G10, 'Padronização'!A:C, 3, FALSE), "")</f>
        <v>ABM/MAS aplicado à evacuação</v>
      </c>
      <c r="G10" s="7" t="s">
        <v>45</v>
      </c>
      <c r="H10" s="8" t="s">
        <v>49</v>
      </c>
      <c r="I10" s="9" t="s">
        <v>51</v>
      </c>
      <c r="J10" s="9" t="s">
        <v>53</v>
      </c>
      <c r="K10" s="9" t="s">
        <v>94</v>
      </c>
      <c r="L10" s="9" t="s">
        <v>53</v>
      </c>
      <c r="M10" s="11">
        <f t="shared" si="1"/>
        <v>7</v>
      </c>
      <c r="N10" s="12" t="str">
        <f t="shared" si="2"/>
        <v>ALTA</v>
      </c>
      <c r="O10" s="14" t="s">
        <v>61</v>
      </c>
      <c r="P10" s="4" t="s">
        <v>104</v>
      </c>
      <c r="Q10" s="4" t="s">
        <v>61</v>
      </c>
    </row>
    <row r="11" ht="22.5" customHeight="1">
      <c r="A11" s="4" t="s">
        <v>30</v>
      </c>
      <c r="B11" s="4">
        <v>2025.0</v>
      </c>
      <c r="C11" s="4" t="s">
        <v>33</v>
      </c>
      <c r="D11" s="4" t="s">
        <v>106</v>
      </c>
      <c r="E11" s="4" t="s">
        <v>37</v>
      </c>
      <c r="F11" s="6" t="str">
        <f>IFERROR(VLOOKUP(G11, 'Padronização'!A:C, 3, FALSE), "")</f>
        <v>ABM/MAS aplicado à evacuação</v>
      </c>
      <c r="G11" s="7" t="s">
        <v>45</v>
      </c>
      <c r="H11" s="8" t="s">
        <v>49</v>
      </c>
      <c r="I11" s="9" t="s">
        <v>51</v>
      </c>
      <c r="J11" s="9" t="s">
        <v>53</v>
      </c>
      <c r="K11" s="9" t="s">
        <v>68</v>
      </c>
      <c r="L11" s="9" t="s">
        <v>53</v>
      </c>
      <c r="M11" s="11">
        <f t="shared" si="1"/>
        <v>9</v>
      </c>
      <c r="N11" s="12" t="str">
        <f t="shared" si="2"/>
        <v>ALTÍSSIMA</v>
      </c>
      <c r="O11" s="14" t="s">
        <v>53</v>
      </c>
      <c r="P11" s="11"/>
      <c r="Q11" s="4" t="s">
        <v>53</v>
      </c>
    </row>
    <row r="12" ht="22.5" customHeight="1">
      <c r="A12" s="4" t="s">
        <v>30</v>
      </c>
      <c r="B12" s="4">
        <v>2024.0</v>
      </c>
      <c r="C12" s="4" t="s">
        <v>33</v>
      </c>
      <c r="D12" s="4" t="s">
        <v>112</v>
      </c>
      <c r="E12" s="4" t="s">
        <v>37</v>
      </c>
      <c r="F12" s="6" t="str">
        <f>IFERROR(VLOOKUP(G12, 'Padronização'!A:C, 3, FALSE), "")</f>
        <v>ABM/MAS focado em comportamento humano cognitivo</v>
      </c>
      <c r="G12" s="7" t="s">
        <v>47</v>
      </c>
      <c r="H12" s="8" t="s">
        <v>49</v>
      </c>
      <c r="I12" s="9" t="s">
        <v>51</v>
      </c>
      <c r="J12" s="9" t="s">
        <v>53</v>
      </c>
      <c r="K12" s="9" t="s">
        <v>68</v>
      </c>
      <c r="L12" s="9" t="s">
        <v>53</v>
      </c>
      <c r="M12" s="11">
        <f t="shared" si="1"/>
        <v>9</v>
      </c>
      <c r="N12" s="12" t="str">
        <f t="shared" si="2"/>
        <v>ALTÍSSIMA</v>
      </c>
      <c r="O12" s="14" t="s">
        <v>61</v>
      </c>
      <c r="P12" s="11"/>
      <c r="Q12" s="4" t="s">
        <v>61</v>
      </c>
    </row>
    <row r="13" ht="22.5" customHeight="1">
      <c r="A13" s="4" t="s">
        <v>30</v>
      </c>
      <c r="B13" s="4">
        <v>2024.0</v>
      </c>
      <c r="C13" s="4" t="s">
        <v>33</v>
      </c>
      <c r="D13" s="22" t="s">
        <v>116</v>
      </c>
      <c r="E13" s="4" t="s">
        <v>37</v>
      </c>
      <c r="F13" s="6" t="str">
        <f>IFERROR(VLOOKUP(G13, 'Padronização'!A:C, 3, FALSE), "")</f>
        <v>ABM/MAS focado em comportamento humano cognitivo</v>
      </c>
      <c r="G13" s="7" t="s">
        <v>47</v>
      </c>
      <c r="H13" s="8" t="s">
        <v>49</v>
      </c>
      <c r="I13" s="9" t="s">
        <v>51</v>
      </c>
      <c r="J13" s="9" t="s">
        <v>53</v>
      </c>
      <c r="K13" s="9" t="s">
        <v>94</v>
      </c>
      <c r="L13" s="9" t="s">
        <v>53</v>
      </c>
      <c r="M13" s="11">
        <f t="shared" si="1"/>
        <v>7</v>
      </c>
      <c r="N13" s="12" t="str">
        <f t="shared" si="2"/>
        <v>ALTA</v>
      </c>
      <c r="O13" s="14" t="s">
        <v>61</v>
      </c>
      <c r="P13" s="4" t="s">
        <v>122</v>
      </c>
      <c r="Q13" s="4" t="s">
        <v>61</v>
      </c>
    </row>
    <row r="14" ht="22.5" hidden="1" customHeight="1">
      <c r="A14" s="4" t="s">
        <v>30</v>
      </c>
      <c r="B14" s="4">
        <v>2024.0</v>
      </c>
      <c r="C14" s="4" t="s">
        <v>33</v>
      </c>
      <c r="D14" s="4" t="s">
        <v>124</v>
      </c>
      <c r="E14" s="4" t="s">
        <v>37</v>
      </c>
      <c r="F14" s="6" t="str">
        <f>IFERROR(VLOOKUP(G14, 'Padronização'!A:C, 3, FALSE), "")</f>
        <v>ABM/MAS aplicado à evacuação</v>
      </c>
      <c r="G14" s="7" t="s">
        <v>45</v>
      </c>
      <c r="H14" s="8" t="s">
        <v>125</v>
      </c>
      <c r="I14" s="9" t="s">
        <v>51</v>
      </c>
      <c r="J14" s="9" t="s">
        <v>53</v>
      </c>
      <c r="K14" s="9" t="s">
        <v>68</v>
      </c>
      <c r="L14" s="9" t="s">
        <v>53</v>
      </c>
      <c r="M14" s="11">
        <f t="shared" si="1"/>
        <v>9</v>
      </c>
      <c r="N14" s="12" t="str">
        <f t="shared" si="2"/>
        <v>ALTÍSSIMA</v>
      </c>
      <c r="O14" s="12"/>
      <c r="P14" s="11"/>
      <c r="Q14" s="11"/>
    </row>
    <row r="15" ht="22.5" customHeight="1">
      <c r="A15" s="4" t="s">
        <v>30</v>
      </c>
      <c r="B15" s="4">
        <v>2024.0</v>
      </c>
      <c r="C15" s="4" t="s">
        <v>33</v>
      </c>
      <c r="D15" s="4" t="s">
        <v>127</v>
      </c>
      <c r="E15" s="4" t="s">
        <v>37</v>
      </c>
      <c r="F15" s="6" t="str">
        <f>IFERROR(VLOOKUP(G15, 'Padronização'!A:C, 3, FALSE), "")</f>
        <v>ABM/MAS aplicado à evacuação</v>
      </c>
      <c r="G15" s="7" t="s">
        <v>45</v>
      </c>
      <c r="H15" s="8" t="s">
        <v>49</v>
      </c>
      <c r="I15" s="9" t="s">
        <v>51</v>
      </c>
      <c r="J15" s="9" t="s">
        <v>53</v>
      </c>
      <c r="K15" s="9" t="s">
        <v>94</v>
      </c>
      <c r="L15" s="9" t="s">
        <v>53</v>
      </c>
      <c r="M15" s="11">
        <f t="shared" si="1"/>
        <v>7</v>
      </c>
      <c r="N15" s="12" t="str">
        <f t="shared" si="2"/>
        <v>ALTA</v>
      </c>
      <c r="O15" s="14" t="s">
        <v>53</v>
      </c>
      <c r="P15" s="4" t="s">
        <v>137</v>
      </c>
      <c r="Q15" s="4" t="s">
        <v>61</v>
      </c>
    </row>
    <row r="16" ht="22.5" customHeight="1">
      <c r="A16" s="4" t="s">
        <v>30</v>
      </c>
      <c r="B16" s="4">
        <v>2023.0</v>
      </c>
      <c r="C16" s="4" t="s">
        <v>33</v>
      </c>
      <c r="D16" s="4" t="s">
        <v>139</v>
      </c>
      <c r="E16" s="4" t="str">
        <f>IFERROR(VLOOKUP(G16, 'Padronização'!A:C, 2, FALSE), "")</f>
        <v>✅</v>
      </c>
      <c r="F16" s="23" t="str">
        <f>IFERROR(VLOOKUP(G16, 'Padronização'!A:C, 3, FALSE), "")</f>
        <v>ABM/MAS aplicado à evacuação</v>
      </c>
      <c r="G16" s="4" t="s">
        <v>45</v>
      </c>
      <c r="H16" s="24" t="s">
        <v>49</v>
      </c>
      <c r="I16" s="14" t="s">
        <v>51</v>
      </c>
      <c r="J16" s="14" t="s">
        <v>53</v>
      </c>
      <c r="K16" s="14" t="s">
        <v>94</v>
      </c>
      <c r="L16" s="14" t="s">
        <v>53</v>
      </c>
      <c r="M16" s="11">
        <f t="shared" si="1"/>
        <v>7</v>
      </c>
      <c r="N16" s="12" t="str">
        <f t="shared" si="2"/>
        <v>ALTA</v>
      </c>
      <c r="O16" s="14" t="s">
        <v>53</v>
      </c>
      <c r="P16" s="11"/>
      <c r="Q16" s="4" t="s">
        <v>53</v>
      </c>
    </row>
    <row r="17" ht="22.5" customHeight="1">
      <c r="A17" s="4" t="s">
        <v>30</v>
      </c>
      <c r="B17" s="4">
        <v>2022.0</v>
      </c>
      <c r="C17" s="4" t="s">
        <v>33</v>
      </c>
      <c r="D17" s="4" t="s">
        <v>165</v>
      </c>
      <c r="E17" s="4" t="str">
        <f>IFERROR(VLOOKUP(G17, 'Padronização'!A:C, 2, FALSE), "")</f>
        <v>✅</v>
      </c>
      <c r="F17" s="23" t="str">
        <f>IFERROR(VLOOKUP(G17, 'Padronização'!A:C, 3, FALSE), "")</f>
        <v>ABM/MAS focado em comportamento humano cognitivo</v>
      </c>
      <c r="G17" s="4" t="s">
        <v>47</v>
      </c>
      <c r="H17" s="24" t="s">
        <v>49</v>
      </c>
      <c r="I17" s="14" t="s">
        <v>51</v>
      </c>
      <c r="J17" s="14" t="s">
        <v>53</v>
      </c>
      <c r="K17" s="14" t="s">
        <v>82</v>
      </c>
      <c r="L17" s="14" t="s">
        <v>53</v>
      </c>
      <c r="M17" s="11">
        <f t="shared" si="1"/>
        <v>9</v>
      </c>
      <c r="N17" s="12" t="str">
        <f t="shared" si="2"/>
        <v>ALTÍSSIMA</v>
      </c>
      <c r="O17" s="14" t="s">
        <v>61</v>
      </c>
      <c r="P17" s="11"/>
      <c r="Q17" s="4" t="s">
        <v>61</v>
      </c>
    </row>
    <row r="18" ht="22.5" hidden="1" customHeight="1">
      <c r="A18" s="4" t="s">
        <v>30</v>
      </c>
      <c r="B18" s="4">
        <v>2022.0</v>
      </c>
      <c r="C18" s="4" t="s">
        <v>33</v>
      </c>
      <c r="D18" s="4" t="s">
        <v>170</v>
      </c>
      <c r="E18" s="4" t="str">
        <f>IFERROR(VLOOKUP(G18, 'Padronização'!A:C, 2, FALSE), "")</f>
        <v>✅</v>
      </c>
      <c r="F18" s="23" t="str">
        <f>IFERROR(VLOOKUP(G18, 'Padronização'!A:C, 3, FALSE), "")</f>
        <v>ABM/MAS aplicado à evacuação</v>
      </c>
      <c r="G18" s="13" t="s">
        <v>45</v>
      </c>
      <c r="H18" s="24" t="s">
        <v>125</v>
      </c>
      <c r="I18" s="14" t="s">
        <v>51</v>
      </c>
      <c r="J18" s="14" t="s">
        <v>53</v>
      </c>
      <c r="K18" s="14" t="s">
        <v>68</v>
      </c>
      <c r="L18" s="14" t="s">
        <v>53</v>
      </c>
      <c r="M18" s="11">
        <f t="shared" si="1"/>
        <v>9</v>
      </c>
      <c r="N18" s="12" t="str">
        <f t="shared" si="2"/>
        <v>ALTÍSSIMA</v>
      </c>
      <c r="O18" s="12"/>
      <c r="P18" s="11"/>
      <c r="Q18" s="11"/>
    </row>
    <row r="19" ht="22.5" customHeight="1">
      <c r="A19" s="4" t="s">
        <v>30</v>
      </c>
      <c r="B19" s="4">
        <v>2020.0</v>
      </c>
      <c r="C19" s="4" t="s">
        <v>33</v>
      </c>
      <c r="D19" s="4" t="s">
        <v>176</v>
      </c>
      <c r="E19" s="4" t="str">
        <f>IFERROR(VLOOKUP(G19, 'Padronização'!A:C, 2, FALSE), "")</f>
        <v>✅</v>
      </c>
      <c r="F19" s="23" t="str">
        <f>IFERROR(VLOOKUP(G19, 'Padronização'!A:C, 3, FALSE), "")</f>
        <v>ABM/MAS aplicado à evacuação</v>
      </c>
      <c r="G19" s="13" t="s">
        <v>45</v>
      </c>
      <c r="H19" s="24" t="s">
        <v>49</v>
      </c>
      <c r="I19" s="14" t="s">
        <v>51</v>
      </c>
      <c r="J19" s="14" t="s">
        <v>53</v>
      </c>
      <c r="K19" s="14" t="s">
        <v>94</v>
      </c>
      <c r="L19" s="14" t="s">
        <v>53</v>
      </c>
      <c r="M19" s="11">
        <f t="shared" si="1"/>
        <v>7</v>
      </c>
      <c r="N19" s="12" t="str">
        <f t="shared" si="2"/>
        <v>ALTA</v>
      </c>
      <c r="O19" s="14" t="s">
        <v>53</v>
      </c>
      <c r="P19" s="11"/>
      <c r="Q19" s="4" t="s">
        <v>53</v>
      </c>
    </row>
    <row r="20" ht="22.5" customHeight="1">
      <c r="A20" s="4" t="s">
        <v>30</v>
      </c>
      <c r="B20" s="4">
        <v>2020.0</v>
      </c>
      <c r="C20" s="4" t="s">
        <v>33</v>
      </c>
      <c r="D20" s="4" t="s">
        <v>181</v>
      </c>
      <c r="E20" s="4" t="str">
        <f>IFERROR(VLOOKUP(G20, 'Padronização'!A:C, 2, FALSE), "")</f>
        <v>✅</v>
      </c>
      <c r="F20" s="23" t="str">
        <f>IFERROR(VLOOKUP(G20, 'Padronização'!A:C, 3, FALSE), "")</f>
        <v>ABM/MAS aplicado à evacuação</v>
      </c>
      <c r="G20" s="13" t="s">
        <v>45</v>
      </c>
      <c r="H20" s="24" t="s">
        <v>49</v>
      </c>
      <c r="I20" s="14" t="s">
        <v>51</v>
      </c>
      <c r="J20" s="14" t="s">
        <v>53</v>
      </c>
      <c r="K20" s="14" t="s">
        <v>94</v>
      </c>
      <c r="L20" s="14" t="s">
        <v>53</v>
      </c>
      <c r="M20" s="11">
        <f t="shared" si="1"/>
        <v>7</v>
      </c>
      <c r="N20" s="12" t="str">
        <f t="shared" si="2"/>
        <v>ALTA</v>
      </c>
      <c r="O20" s="14" t="s">
        <v>53</v>
      </c>
      <c r="P20" s="11"/>
      <c r="Q20" s="4" t="s">
        <v>53</v>
      </c>
    </row>
    <row r="21" ht="22.5" customHeight="1">
      <c r="A21" s="4" t="s">
        <v>30</v>
      </c>
      <c r="B21" s="4">
        <v>2020.0</v>
      </c>
      <c r="C21" s="4" t="s">
        <v>33</v>
      </c>
      <c r="D21" s="4" t="s">
        <v>183</v>
      </c>
      <c r="E21" s="4" t="str">
        <f>IFERROR(VLOOKUP(G21, 'Padronização'!A:C, 2, FALSE), "")</f>
        <v>✅</v>
      </c>
      <c r="F21" s="23" t="str">
        <f>IFERROR(VLOOKUP(G21, 'Padronização'!A:C, 3, FALSE), "")</f>
        <v>Grupos vulneráveis em cenários de crise</v>
      </c>
      <c r="G21" s="13" t="s">
        <v>54</v>
      </c>
      <c r="H21" s="24" t="s">
        <v>49</v>
      </c>
      <c r="I21" s="14" t="s">
        <v>51</v>
      </c>
      <c r="J21" s="14" t="s">
        <v>53</v>
      </c>
      <c r="K21" s="14" t="s">
        <v>68</v>
      </c>
      <c r="L21" s="14" t="s">
        <v>53</v>
      </c>
      <c r="M21" s="11">
        <f t="shared" si="1"/>
        <v>9</v>
      </c>
      <c r="N21" s="12" t="str">
        <f t="shared" si="2"/>
        <v>ALTÍSSIMA</v>
      </c>
      <c r="O21" s="14" t="s">
        <v>53</v>
      </c>
      <c r="P21" s="11"/>
      <c r="Q21" s="4" t="s">
        <v>53</v>
      </c>
    </row>
    <row r="26">
      <c r="D26" s="26" t="s">
        <v>188</v>
      </c>
    </row>
  </sheetData>
  <dataValidations>
    <dataValidation type="list" allowBlank="1" sqref="N2:N21">
      <formula1>"EXCLUIR,BAIXA,ALTÍSSIMA,ALTA,MÉDIA"</formula1>
    </dataValidation>
    <dataValidation type="list" allowBlank="1" sqref="I2:I21">
      <formula1>"Regional,Microescala"</formula1>
    </dataValidation>
    <dataValidation type="list" allowBlank="1" sqref="L2:L21">
      <formula1>"Não,Sim"</formula1>
    </dataValidation>
    <dataValidation type="list" allowBlank="1" sqref="H2:H21">
      <formula1>"Enchente,Multirriscos,Terremoto,Tsunami,Incêndio,Furacão,Deslizamento,I. Químico,I. Nuclear,Ataque,Guerra,Não Relevante,Pandemia,Vulcão,Tornado"</formula1>
    </dataValidation>
    <dataValidation type="list" allowBlank="1" sqref="J2:J21">
      <formula1>"Sim,Não,Parcial"</formula1>
    </dataValidation>
    <dataValidation type="list" allowBlank="1" sqref="O2:O21">
      <formula1>"Sim,Não"</formula1>
    </dataValidation>
    <dataValidation type="list" allowBlank="1" sqref="K2:K21">
      <formula1>"Python,NetLogo,GAMA,Unity,MATLAB,Outro,Não informado,Mesa"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9.38"/>
  </cols>
  <sheetData>
    <row r="1" ht="22.5" customHeight="1">
      <c r="A1" s="1" t="s">
        <v>0</v>
      </c>
      <c r="B1" s="1" t="s">
        <v>2</v>
      </c>
      <c r="C1" s="1" t="s">
        <v>3</v>
      </c>
    </row>
    <row r="2" ht="22.5" customHeight="1">
      <c r="A2" s="3" t="s">
        <v>5</v>
      </c>
      <c r="B2" s="4" t="s">
        <v>8</v>
      </c>
      <c r="C2" s="3" t="s">
        <v>10</v>
      </c>
    </row>
    <row r="3" ht="22.5" customHeight="1">
      <c r="A3" s="3" t="s">
        <v>12</v>
      </c>
      <c r="B3" s="4" t="s">
        <v>8</v>
      </c>
      <c r="C3" s="3" t="s">
        <v>13</v>
      </c>
    </row>
    <row r="4" ht="22.5" customHeight="1">
      <c r="A4" s="3" t="s">
        <v>15</v>
      </c>
      <c r="B4" s="4" t="s">
        <v>8</v>
      </c>
      <c r="C4" s="3" t="s">
        <v>17</v>
      </c>
    </row>
    <row r="5" ht="22.5" customHeight="1">
      <c r="A5" s="3" t="s">
        <v>19</v>
      </c>
      <c r="B5" s="4" t="s">
        <v>8</v>
      </c>
      <c r="C5" s="3" t="s">
        <v>25</v>
      </c>
    </row>
    <row r="6" ht="22.5" customHeight="1">
      <c r="A6" s="3" t="s">
        <v>27</v>
      </c>
      <c r="B6" s="4" t="s">
        <v>8</v>
      </c>
      <c r="C6" s="3" t="s">
        <v>29</v>
      </c>
    </row>
    <row r="7" ht="22.5" customHeight="1">
      <c r="A7" s="3" t="s">
        <v>31</v>
      </c>
      <c r="B7" s="4" t="s">
        <v>8</v>
      </c>
      <c r="C7" s="3" t="s">
        <v>32</v>
      </c>
    </row>
    <row r="8" ht="22.5" customHeight="1">
      <c r="A8" s="3" t="s">
        <v>34</v>
      </c>
      <c r="B8" s="4" t="s">
        <v>8</v>
      </c>
      <c r="C8" s="3" t="s">
        <v>36</v>
      </c>
    </row>
    <row r="9" ht="22.5" customHeight="1">
      <c r="A9" s="3" t="s">
        <v>38</v>
      </c>
      <c r="B9" s="4" t="s">
        <v>8</v>
      </c>
      <c r="C9" s="3" t="s">
        <v>39</v>
      </c>
    </row>
    <row r="10" ht="22.5" customHeight="1">
      <c r="A10" s="3" t="s">
        <v>40</v>
      </c>
      <c r="B10" s="4" t="s">
        <v>41</v>
      </c>
      <c r="C10" s="3" t="s">
        <v>42</v>
      </c>
    </row>
    <row r="11" ht="22.5" customHeight="1">
      <c r="A11" s="3" t="s">
        <v>43</v>
      </c>
      <c r="B11" s="4" t="s">
        <v>41</v>
      </c>
      <c r="C11" s="3" t="s">
        <v>44</v>
      </c>
    </row>
    <row r="12" ht="22.5" customHeight="1">
      <c r="A12" s="3" t="s">
        <v>45</v>
      </c>
      <c r="B12" s="4" t="s">
        <v>37</v>
      </c>
      <c r="C12" s="3" t="s">
        <v>46</v>
      </c>
    </row>
    <row r="13" ht="22.5" customHeight="1">
      <c r="A13" s="3" t="s">
        <v>47</v>
      </c>
      <c r="B13" s="4" t="s">
        <v>37</v>
      </c>
      <c r="C13" s="3" t="s">
        <v>48</v>
      </c>
    </row>
    <row r="14" ht="22.5" customHeight="1">
      <c r="A14" s="3" t="s">
        <v>50</v>
      </c>
      <c r="B14" s="4" t="s">
        <v>37</v>
      </c>
      <c r="C14" s="3" t="s">
        <v>52</v>
      </c>
    </row>
    <row r="15" ht="22.5" customHeight="1">
      <c r="A15" s="3" t="s">
        <v>54</v>
      </c>
      <c r="B15" s="4" t="s">
        <v>37</v>
      </c>
      <c r="C15" s="3" t="s">
        <v>56</v>
      </c>
    </row>
    <row r="16" ht="22.5" customHeight="1">
      <c r="A16" s="3" t="s">
        <v>57</v>
      </c>
      <c r="B16" s="4" t="s">
        <v>41</v>
      </c>
      <c r="C16" s="3" t="s">
        <v>58</v>
      </c>
    </row>
    <row r="19">
      <c r="C19" s="10"/>
    </row>
  </sheetData>
  <drawing r:id="rId1"/>
  <tableParts count="2">
    <tablePart r:id="rId4"/>
    <tablePart r:id="rId5"/>
  </tableParts>
</worksheet>
</file>